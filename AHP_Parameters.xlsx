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16.10\softwares\Abarna\datasets_ssa\AHP_Parameters\"/>
    </mc:Choice>
  </mc:AlternateContent>
  <xr:revisionPtr revIDLastSave="0" documentId="13_ncr:1_{DF08205F-7FD3-4AB4-920A-D55E9A20CB91}" xr6:coauthVersionLast="47" xr6:coauthVersionMax="47" xr10:uidLastSave="{00000000-0000-0000-0000-000000000000}"/>
  <bookViews>
    <workbookView xWindow="28680" yWindow="-120" windowWidth="29040" windowHeight="15720" xr2:uid="{C1174263-D732-4ED0-BCCC-54ED0E341966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solver_adj" localSheetId="3" hidden="1">Sheet4!$K$19:$K$27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Sheet4!$K$19:$K$27</definedName>
    <definedName name="solver_lhs2" localSheetId="3" hidden="1">Sheet4!$K$28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Sheet4!$M$28</definedName>
    <definedName name="solver_pre" localSheetId="3" hidden="1">0.000001</definedName>
    <definedName name="solver_rbv" localSheetId="3" hidden="1">1</definedName>
    <definedName name="solver_rel1" localSheetId="3" hidden="1">3</definedName>
    <definedName name="solver_rel2" localSheetId="3" hidden="1">2</definedName>
    <definedName name="solver_rhs1" localSheetId="3" hidden="1">0</definedName>
    <definedName name="solver_rhs2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4" l="1" a="1"/>
  <c r="L20" i="4" s="1"/>
  <c r="M20" i="4" s="1"/>
  <c r="K28" i="4"/>
  <c r="L2" i="4" a="1"/>
  <c r="L3" i="4" s="1"/>
  <c r="M3" i="4" s="1"/>
  <c r="N3" i="4" s="1"/>
  <c r="P3" i="4" s="1"/>
  <c r="K11" i="4"/>
  <c r="J11" i="4"/>
  <c r="I11" i="4"/>
  <c r="H11" i="4"/>
  <c r="G11" i="4"/>
  <c r="F11" i="4"/>
  <c r="E11" i="4"/>
  <c r="D11" i="4"/>
  <c r="C11" i="4"/>
  <c r="B11" i="4"/>
  <c r="L2" i="3" a="1"/>
  <c r="L2" i="3" s="1"/>
  <c r="K11" i="3"/>
  <c r="L65" i="2"/>
  <c r="J11" i="3"/>
  <c r="I11" i="3"/>
  <c r="H11" i="3"/>
  <c r="G11" i="3"/>
  <c r="F11" i="3"/>
  <c r="E11" i="3"/>
  <c r="D11" i="3"/>
  <c r="C11" i="3"/>
  <c r="B11" i="3"/>
  <c r="M57" i="2"/>
  <c r="M58" i="2"/>
  <c r="M59" i="2"/>
  <c r="M60" i="2"/>
  <c r="M61" i="2"/>
  <c r="M62" i="2"/>
  <c r="M63" i="2"/>
  <c r="M64" i="2"/>
  <c r="M56" i="2"/>
  <c r="L57" i="2"/>
  <c r="L58" i="2"/>
  <c r="L59" i="2"/>
  <c r="L60" i="2"/>
  <c r="L61" i="2"/>
  <c r="L62" i="2"/>
  <c r="L63" i="2"/>
  <c r="L64" i="2"/>
  <c r="L56" i="2"/>
  <c r="K65" i="2"/>
  <c r="K56" i="2"/>
  <c r="K57" i="2"/>
  <c r="K58" i="2"/>
  <c r="K59" i="2"/>
  <c r="K60" i="2"/>
  <c r="K61" i="2"/>
  <c r="K62" i="2"/>
  <c r="K63" i="2"/>
  <c r="K64" i="2"/>
  <c r="B56" i="2" a="1"/>
  <c r="B56" i="2" s="1"/>
  <c r="M44" i="2"/>
  <c r="M45" i="2"/>
  <c r="M46" i="2"/>
  <c r="M47" i="2"/>
  <c r="M48" i="2"/>
  <c r="M49" i="2"/>
  <c r="M50" i="2"/>
  <c r="M51" i="2"/>
  <c r="M43" i="2"/>
  <c r="L44" i="2"/>
  <c r="L45" i="2"/>
  <c r="L46" i="2"/>
  <c r="L47" i="2"/>
  <c r="L48" i="2"/>
  <c r="L49" i="2"/>
  <c r="L50" i="2"/>
  <c r="L51" i="2"/>
  <c r="L43" i="2"/>
  <c r="K52" i="2"/>
  <c r="K43" i="2"/>
  <c r="K44" i="2"/>
  <c r="K45" i="2"/>
  <c r="K46" i="2"/>
  <c r="K47" i="2"/>
  <c r="K48" i="2"/>
  <c r="K49" i="2"/>
  <c r="K50" i="2"/>
  <c r="K51" i="2"/>
  <c r="B43" i="2" a="1"/>
  <c r="B43" i="2" s="1"/>
  <c r="M30" i="2"/>
  <c r="M31" i="2"/>
  <c r="M32" i="2"/>
  <c r="M33" i="2"/>
  <c r="M34" i="2"/>
  <c r="M35" i="2"/>
  <c r="M36" i="2"/>
  <c r="M37" i="2"/>
  <c r="M29" i="2"/>
  <c r="L37" i="2"/>
  <c r="L36" i="2"/>
  <c r="L35" i="2"/>
  <c r="L34" i="2"/>
  <c r="L33" i="2"/>
  <c r="L32" i="2"/>
  <c r="L31" i="2"/>
  <c r="L30" i="2"/>
  <c r="L29" i="2"/>
  <c r="K38" i="2"/>
  <c r="K29" i="2"/>
  <c r="K30" i="2"/>
  <c r="K31" i="2"/>
  <c r="K32" i="2"/>
  <c r="K33" i="2"/>
  <c r="K34" i="2"/>
  <c r="K35" i="2"/>
  <c r="K36" i="2"/>
  <c r="K37" i="2"/>
  <c r="B29" i="2" a="1"/>
  <c r="C29" i="2" s="1"/>
  <c r="L17" i="2"/>
  <c r="L18" i="2"/>
  <c r="L19" i="2"/>
  <c r="L20" i="2"/>
  <c r="L21" i="2"/>
  <c r="L22" i="2"/>
  <c r="L23" i="2"/>
  <c r="L24" i="2"/>
  <c r="L16" i="2"/>
  <c r="K25" i="2"/>
  <c r="K16" i="2"/>
  <c r="K17" i="2"/>
  <c r="K18" i="2"/>
  <c r="K19" i="2"/>
  <c r="K20" i="2"/>
  <c r="K21" i="2"/>
  <c r="K22" i="2"/>
  <c r="K23" i="2"/>
  <c r="K24" i="2"/>
  <c r="B16" i="2" a="1"/>
  <c r="B16" i="2" s="1"/>
  <c r="J11" i="2"/>
  <c r="I11" i="2"/>
  <c r="H11" i="2"/>
  <c r="G11" i="2"/>
  <c r="F11" i="2"/>
  <c r="E11" i="2"/>
  <c r="D11" i="2"/>
  <c r="C11" i="2"/>
  <c r="B11" i="2"/>
  <c r="J11" i="1"/>
  <c r="J24" i="1" s="1"/>
  <c r="I11" i="1"/>
  <c r="I22" i="1" s="1"/>
  <c r="H11" i="1"/>
  <c r="H23" i="1" s="1"/>
  <c r="G11" i="1"/>
  <c r="G27" i="1" s="1"/>
  <c r="F11" i="1"/>
  <c r="F27" i="1" s="1"/>
  <c r="E11" i="1"/>
  <c r="E25" i="1" s="1"/>
  <c r="D11" i="1"/>
  <c r="D25" i="1" s="1"/>
  <c r="C11" i="1"/>
  <c r="C20" i="1" s="1"/>
  <c r="B11" i="1"/>
  <c r="B27" i="1" s="1"/>
  <c r="J19" i="1" l="1"/>
  <c r="I21" i="1"/>
  <c r="I20" i="1"/>
  <c r="I28" i="1"/>
  <c r="I19" i="1"/>
  <c r="J22" i="1"/>
  <c r="J23" i="1"/>
  <c r="D23" i="1"/>
  <c r="D19" i="1"/>
  <c r="D24" i="1"/>
  <c r="D27" i="1"/>
  <c r="D22" i="1"/>
  <c r="D21" i="1"/>
  <c r="D20" i="1"/>
  <c r="D26" i="1"/>
  <c r="D28" i="1"/>
  <c r="E23" i="1"/>
  <c r="E24" i="1"/>
  <c r="E19" i="1"/>
  <c r="E21" i="1"/>
  <c r="E22" i="1"/>
  <c r="E28" i="1"/>
  <c r="E27" i="1"/>
  <c r="E26" i="1"/>
  <c r="E20" i="1"/>
  <c r="F26" i="1"/>
  <c r="B26" i="1"/>
  <c r="B25" i="1"/>
  <c r="B24" i="1"/>
  <c r="B23" i="1"/>
  <c r="B22" i="1"/>
  <c r="B19" i="1"/>
  <c r="B21" i="1"/>
  <c r="B28" i="1"/>
  <c r="B20" i="1"/>
  <c r="J21" i="1"/>
  <c r="J28" i="1"/>
  <c r="J27" i="1"/>
  <c r="J26" i="1"/>
  <c r="J25" i="1"/>
  <c r="J20" i="1"/>
  <c r="G26" i="1"/>
  <c r="I26" i="1"/>
  <c r="I27" i="1"/>
  <c r="I25" i="1"/>
  <c r="I24" i="1"/>
  <c r="I23" i="1"/>
  <c r="F23" i="1"/>
  <c r="F19" i="1"/>
  <c r="F21" i="1"/>
  <c r="F24" i="1"/>
  <c r="F28" i="1"/>
  <c r="F20" i="1"/>
  <c r="F25" i="1"/>
  <c r="F22" i="1"/>
  <c r="C27" i="1"/>
  <c r="C25" i="1"/>
  <c r="C26" i="1"/>
  <c r="C24" i="1"/>
  <c r="C23" i="1"/>
  <c r="C22" i="1"/>
  <c r="C19" i="1"/>
  <c r="C21" i="1"/>
  <c r="C28" i="1"/>
  <c r="G25" i="1"/>
  <c r="G22" i="1"/>
  <c r="G19" i="1"/>
  <c r="G21" i="1"/>
  <c r="G24" i="1"/>
  <c r="G23" i="1"/>
  <c r="G28" i="1"/>
  <c r="G20" i="1"/>
  <c r="H22" i="1"/>
  <c r="H19" i="1"/>
  <c r="H21" i="1"/>
  <c r="H28" i="1"/>
  <c r="H20" i="1"/>
  <c r="H27" i="1"/>
  <c r="H26" i="1"/>
  <c r="H25" i="1"/>
  <c r="H24" i="1"/>
  <c r="L27" i="4"/>
  <c r="M27" i="4" s="1"/>
  <c r="L24" i="4"/>
  <c r="M24" i="4" s="1"/>
  <c r="L19" i="4"/>
  <c r="M19" i="4" s="1"/>
  <c r="L26" i="4"/>
  <c r="M26" i="4" s="1"/>
  <c r="L23" i="4"/>
  <c r="M23" i="4" s="1"/>
  <c r="L25" i="4"/>
  <c r="M25" i="4" s="1"/>
  <c r="L22" i="4"/>
  <c r="M22" i="4" s="1"/>
  <c r="L21" i="4"/>
  <c r="M21" i="4" s="1"/>
  <c r="L9" i="4"/>
  <c r="M9" i="4" s="1"/>
  <c r="N9" i="4" s="1"/>
  <c r="P9" i="4" s="1"/>
  <c r="L7" i="4"/>
  <c r="M7" i="4" s="1"/>
  <c r="N7" i="4" s="1"/>
  <c r="P7" i="4" s="1"/>
  <c r="L6" i="4"/>
  <c r="M6" i="4" s="1"/>
  <c r="N6" i="4" s="1"/>
  <c r="P6" i="4" s="1"/>
  <c r="L2" i="4"/>
  <c r="M2" i="4" s="1"/>
  <c r="N2" i="4" s="1"/>
  <c r="P2" i="4" s="1"/>
  <c r="L8" i="4"/>
  <c r="M8" i="4" s="1"/>
  <c r="N8" i="4" s="1"/>
  <c r="P8" i="4" s="1"/>
  <c r="L5" i="4"/>
  <c r="M5" i="4" s="1"/>
  <c r="N5" i="4" s="1"/>
  <c r="P5" i="4" s="1"/>
  <c r="L10" i="4"/>
  <c r="M10" i="4" s="1"/>
  <c r="N10" i="4" s="1"/>
  <c r="P10" i="4" s="1"/>
  <c r="L4" i="4"/>
  <c r="M4" i="4" s="1"/>
  <c r="N4" i="4" s="1"/>
  <c r="P4" i="4" s="1"/>
  <c r="B63" i="2"/>
  <c r="G58" i="2"/>
  <c r="D60" i="2"/>
  <c r="G56" i="2"/>
  <c r="I64" i="2"/>
  <c r="F59" i="2"/>
  <c r="B62" i="2"/>
  <c r="G57" i="2"/>
  <c r="J61" i="2"/>
  <c r="F57" i="2"/>
  <c r="C59" i="2"/>
  <c r="E64" i="2"/>
  <c r="H61" i="2"/>
  <c r="J59" i="2"/>
  <c r="B59" i="2"/>
  <c r="C58" i="2"/>
  <c r="D57" i="2"/>
  <c r="E56" i="2"/>
  <c r="C62" i="2"/>
  <c r="I56" i="2"/>
  <c r="J62" i="2"/>
  <c r="E59" i="2"/>
  <c r="I62" i="2"/>
  <c r="E58" i="2"/>
  <c r="G63" i="2"/>
  <c r="I61" i="2"/>
  <c r="D58" i="2"/>
  <c r="I60" i="2"/>
  <c r="D64" i="2"/>
  <c r="E63" i="2"/>
  <c r="F62" i="2"/>
  <c r="G61" i="2"/>
  <c r="H60" i="2"/>
  <c r="I59" i="2"/>
  <c r="J58" i="2"/>
  <c r="B58" i="2"/>
  <c r="C57" i="2"/>
  <c r="D56" i="2"/>
  <c r="J63" i="2"/>
  <c r="D61" i="2"/>
  <c r="H57" i="2"/>
  <c r="I63" i="2"/>
  <c r="F58" i="2"/>
  <c r="G64" i="2"/>
  <c r="B61" i="2"/>
  <c r="D59" i="2"/>
  <c r="H62" i="2"/>
  <c r="B60" i="2"/>
  <c r="F56" i="2"/>
  <c r="G62" i="2"/>
  <c r="C64" i="2"/>
  <c r="D63" i="2"/>
  <c r="E62" i="2"/>
  <c r="F61" i="2"/>
  <c r="G60" i="2"/>
  <c r="H59" i="2"/>
  <c r="I58" i="2"/>
  <c r="J57" i="2"/>
  <c r="B57" i="2"/>
  <c r="C56" i="2"/>
  <c r="E60" i="2"/>
  <c r="H64" i="2"/>
  <c r="C61" i="2"/>
  <c r="H56" i="2"/>
  <c r="H63" i="2"/>
  <c r="C60" i="2"/>
  <c r="F64" i="2"/>
  <c r="J60" i="2"/>
  <c r="E57" i="2"/>
  <c r="F63" i="2"/>
  <c r="J64" i="2"/>
  <c r="B64" i="2"/>
  <c r="C63" i="2"/>
  <c r="D62" i="2"/>
  <c r="E61" i="2"/>
  <c r="F60" i="2"/>
  <c r="G59" i="2"/>
  <c r="H58" i="2"/>
  <c r="I57" i="2"/>
  <c r="J56" i="2"/>
  <c r="D47" i="2"/>
  <c r="C49" i="2"/>
  <c r="F46" i="2"/>
  <c r="H51" i="2"/>
  <c r="E46" i="2"/>
  <c r="J48" i="2"/>
  <c r="E45" i="2"/>
  <c r="C46" i="2"/>
  <c r="E51" i="2"/>
  <c r="F50" i="2"/>
  <c r="G49" i="2"/>
  <c r="H48" i="2"/>
  <c r="I47" i="2"/>
  <c r="J46" i="2"/>
  <c r="B46" i="2"/>
  <c r="C45" i="2"/>
  <c r="D44" i="2"/>
  <c r="E43" i="2"/>
  <c r="J50" i="2"/>
  <c r="D48" i="2"/>
  <c r="G45" i="2"/>
  <c r="I50" i="2"/>
  <c r="C48" i="2"/>
  <c r="H43" i="2"/>
  <c r="H50" i="2"/>
  <c r="C47" i="2"/>
  <c r="G43" i="2"/>
  <c r="H49" i="2"/>
  <c r="B47" i="2"/>
  <c r="F43" i="2"/>
  <c r="D51" i="2"/>
  <c r="E50" i="2"/>
  <c r="F49" i="2"/>
  <c r="G48" i="2"/>
  <c r="H47" i="2"/>
  <c r="I46" i="2"/>
  <c r="J45" i="2"/>
  <c r="B45" i="2"/>
  <c r="C44" i="2"/>
  <c r="D43" i="2"/>
  <c r="B50" i="2"/>
  <c r="H44" i="2"/>
  <c r="B49" i="2"/>
  <c r="F45" i="2"/>
  <c r="I49" i="2"/>
  <c r="D46" i="2"/>
  <c r="F51" i="2"/>
  <c r="I48" i="2"/>
  <c r="D45" i="2"/>
  <c r="C51" i="2"/>
  <c r="D50" i="2"/>
  <c r="E49" i="2"/>
  <c r="F48" i="2"/>
  <c r="G47" i="2"/>
  <c r="H46" i="2"/>
  <c r="I45" i="2"/>
  <c r="J44" i="2"/>
  <c r="B44" i="2"/>
  <c r="C43" i="2"/>
  <c r="I51" i="2"/>
  <c r="E47" i="2"/>
  <c r="I43" i="2"/>
  <c r="J49" i="2"/>
  <c r="G44" i="2"/>
  <c r="G51" i="2"/>
  <c r="B48" i="2"/>
  <c r="F44" i="2"/>
  <c r="G50" i="2"/>
  <c r="J47" i="2"/>
  <c r="E44" i="2"/>
  <c r="J51" i="2"/>
  <c r="B51" i="2"/>
  <c r="C50" i="2"/>
  <c r="D49" i="2"/>
  <c r="E48" i="2"/>
  <c r="F47" i="2"/>
  <c r="G46" i="2"/>
  <c r="H45" i="2"/>
  <c r="I44" i="2"/>
  <c r="J43" i="2"/>
  <c r="B37" i="2"/>
  <c r="D35" i="2"/>
  <c r="G32" i="2"/>
  <c r="I30" i="2"/>
  <c r="I37" i="2"/>
  <c r="C35" i="2"/>
  <c r="F32" i="2"/>
  <c r="I29" i="2"/>
  <c r="H37" i="2"/>
  <c r="F31" i="2"/>
  <c r="G37" i="2"/>
  <c r="H36" i="2"/>
  <c r="I35" i="2"/>
  <c r="J34" i="2"/>
  <c r="B34" i="2"/>
  <c r="C33" i="2"/>
  <c r="D32" i="2"/>
  <c r="E31" i="2"/>
  <c r="F30" i="2"/>
  <c r="G29" i="2"/>
  <c r="F29" i="2"/>
  <c r="C36" i="2"/>
  <c r="F33" i="2"/>
  <c r="J29" i="2"/>
  <c r="J36" i="2"/>
  <c r="E33" i="2"/>
  <c r="H30" i="2"/>
  <c r="I36" i="2"/>
  <c r="B35" i="2"/>
  <c r="D33" i="2"/>
  <c r="G30" i="2"/>
  <c r="F37" i="2"/>
  <c r="G36" i="2"/>
  <c r="H35" i="2"/>
  <c r="I34" i="2"/>
  <c r="J33" i="2"/>
  <c r="B33" i="2"/>
  <c r="C32" i="2"/>
  <c r="D31" i="2"/>
  <c r="E30" i="2"/>
  <c r="E37" i="2"/>
  <c r="F36" i="2"/>
  <c r="G35" i="2"/>
  <c r="H34" i="2"/>
  <c r="I33" i="2"/>
  <c r="J32" i="2"/>
  <c r="B32" i="2"/>
  <c r="C31" i="2"/>
  <c r="D30" i="2"/>
  <c r="E29" i="2"/>
  <c r="J37" i="2"/>
  <c r="E34" i="2"/>
  <c r="H31" i="2"/>
  <c r="B29" i="2"/>
  <c r="B36" i="2"/>
  <c r="D34" i="2"/>
  <c r="G31" i="2"/>
  <c r="J35" i="2"/>
  <c r="C34" i="2"/>
  <c r="E32" i="2"/>
  <c r="H29" i="2"/>
  <c r="D37" i="2"/>
  <c r="E36" i="2"/>
  <c r="F35" i="2"/>
  <c r="G34" i="2"/>
  <c r="H33" i="2"/>
  <c r="I32" i="2"/>
  <c r="J31" i="2"/>
  <c r="B31" i="2"/>
  <c r="C30" i="2"/>
  <c r="D29" i="2"/>
  <c r="C37" i="2"/>
  <c r="D36" i="2"/>
  <c r="E35" i="2"/>
  <c r="F34" i="2"/>
  <c r="G33" i="2"/>
  <c r="H32" i="2"/>
  <c r="I31" i="2"/>
  <c r="J30" i="2"/>
  <c r="B30" i="2"/>
  <c r="I24" i="2"/>
  <c r="J23" i="2"/>
  <c r="B23" i="2"/>
  <c r="C22" i="2"/>
  <c r="D21" i="2"/>
  <c r="E20" i="2"/>
  <c r="F19" i="2"/>
  <c r="G18" i="2"/>
  <c r="H17" i="2"/>
  <c r="I16" i="2"/>
  <c r="H24" i="2"/>
  <c r="I23" i="2"/>
  <c r="J22" i="2"/>
  <c r="B22" i="2"/>
  <c r="C21" i="2"/>
  <c r="D20" i="2"/>
  <c r="E19" i="2"/>
  <c r="F18" i="2"/>
  <c r="G17" i="2"/>
  <c r="H16" i="2"/>
  <c r="G24" i="2"/>
  <c r="H23" i="2"/>
  <c r="I22" i="2"/>
  <c r="J21" i="2"/>
  <c r="B21" i="2"/>
  <c r="C20" i="2"/>
  <c r="D19" i="2"/>
  <c r="E18" i="2"/>
  <c r="F17" i="2"/>
  <c r="G16" i="2"/>
  <c r="E16" i="2"/>
  <c r="D16" i="2"/>
  <c r="C16" i="2"/>
  <c r="F24" i="2"/>
  <c r="G23" i="2"/>
  <c r="H22" i="2"/>
  <c r="I21" i="2"/>
  <c r="J20" i="2"/>
  <c r="B20" i="2"/>
  <c r="C19" i="2"/>
  <c r="D18" i="2"/>
  <c r="E17" i="2"/>
  <c r="F16" i="2"/>
  <c r="E24" i="2"/>
  <c r="F23" i="2"/>
  <c r="G22" i="2"/>
  <c r="H21" i="2"/>
  <c r="I20" i="2"/>
  <c r="J19" i="2"/>
  <c r="B19" i="2"/>
  <c r="C18" i="2"/>
  <c r="D17" i="2"/>
  <c r="D24" i="2"/>
  <c r="E23" i="2"/>
  <c r="F22" i="2"/>
  <c r="G21" i="2"/>
  <c r="H20" i="2"/>
  <c r="I19" i="2"/>
  <c r="J18" i="2"/>
  <c r="B18" i="2"/>
  <c r="C17" i="2"/>
  <c r="C24" i="2"/>
  <c r="D23" i="2"/>
  <c r="E22" i="2"/>
  <c r="F21" i="2"/>
  <c r="G20" i="2"/>
  <c r="H19" i="2"/>
  <c r="I18" i="2"/>
  <c r="J17" i="2"/>
  <c r="B17" i="2"/>
  <c r="J24" i="2"/>
  <c r="B24" i="2"/>
  <c r="C23" i="2"/>
  <c r="D22" i="2"/>
  <c r="E21" i="2"/>
  <c r="F20" i="2"/>
  <c r="G19" i="2"/>
  <c r="H18" i="2"/>
  <c r="I17" i="2"/>
  <c r="J16" i="2"/>
  <c r="K27" i="1" l="1"/>
  <c r="K23" i="1"/>
  <c r="K26" i="1"/>
  <c r="K20" i="1"/>
  <c r="K25" i="1"/>
  <c r="K28" i="1"/>
  <c r="K21" i="1"/>
  <c r="K19" i="1"/>
  <c r="K24" i="1"/>
  <c r="K22" i="1"/>
  <c r="M28" i="4"/>
  <c r="L27" i="1" l="1"/>
  <c r="L19" i="1"/>
  <c r="L24" i="1"/>
  <c r="L26" i="1"/>
  <c r="L21" i="1"/>
  <c r="L20" i="1"/>
  <c r="L25" i="1"/>
  <c r="L22" i="1"/>
  <c r="L23" i="1"/>
  <c r="L28" i="1" l="1"/>
  <c r="M25" i="1" s="1"/>
  <c r="O25" i="1" s="1"/>
  <c r="M20" i="1" l="1"/>
  <c r="O20" i="1" s="1"/>
  <c r="M19" i="1"/>
  <c r="O19" i="1" s="1"/>
  <c r="M27" i="1"/>
  <c r="O27" i="1" s="1"/>
  <c r="M21" i="1"/>
  <c r="O21" i="1" s="1"/>
  <c r="M22" i="1"/>
  <c r="O22" i="1" s="1"/>
  <c r="M23" i="1"/>
  <c r="O23" i="1" s="1"/>
  <c r="M24" i="1"/>
  <c r="O24" i="1" s="1"/>
  <c r="M26" i="1"/>
  <c r="O26" i="1" s="1"/>
</calcChain>
</file>

<file path=xl/sharedStrings.xml><?xml version="1.0" encoding="utf-8"?>
<sst xmlns="http://schemas.openxmlformats.org/spreadsheetml/2006/main" count="263" uniqueCount="29">
  <si>
    <t>GrassLand</t>
  </si>
  <si>
    <t>TCD</t>
  </si>
  <si>
    <t>LULC</t>
  </si>
  <si>
    <t>Waterbodies</t>
  </si>
  <si>
    <t>NDVImax</t>
  </si>
  <si>
    <t>NDVI int</t>
  </si>
  <si>
    <t>Road Network</t>
  </si>
  <si>
    <t>Slope</t>
  </si>
  <si>
    <t>Elevation</t>
  </si>
  <si>
    <t>Grassland</t>
  </si>
  <si>
    <t xml:space="preserve">Slope </t>
  </si>
  <si>
    <t>sum</t>
  </si>
  <si>
    <t xml:space="preserve">Average </t>
  </si>
  <si>
    <t>lamda</t>
  </si>
  <si>
    <t>CI</t>
  </si>
  <si>
    <t>RCI</t>
  </si>
  <si>
    <t xml:space="preserve"> CR</t>
  </si>
  <si>
    <t>Normalized vector</t>
  </si>
  <si>
    <t>Difference</t>
  </si>
  <si>
    <t>Weights</t>
  </si>
  <si>
    <t>AW</t>
  </si>
  <si>
    <t>lambda</t>
  </si>
  <si>
    <t>RICi</t>
  </si>
  <si>
    <t>CR</t>
  </si>
  <si>
    <t>weights</t>
  </si>
  <si>
    <t>AW/W</t>
  </si>
  <si>
    <t>Criteria</t>
  </si>
  <si>
    <t>NDVIint</t>
  </si>
  <si>
    <t>RoadNet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</si>
</sst>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2" fontId="0" fillId="0" borderId="0" xfId="0" applyNumberFormat="1"/>
    <xf numFmtId="12" fontId="0" fillId="0" borderId="0" xfId="0" applyNumberFormat="1"/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12" fontId="0" fillId="0" borderId="0" xfId="0" applyNumberFormat="1" applyAlignment="1">
      <alignment vertical="top"/>
    </xf>
    <xf numFmtId="12" fontId="0" fillId="0" borderId="0" xfId="0" applyNumberFormat="1" applyAlignment="1">
      <alignment horizontal="right"/>
    </xf>
    <xf numFmtId="2" fontId="0" fillId="2" borderId="0" xfId="0" applyNumberFormat="1" applyFill="1"/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vertical="top"/>
    </xf>
    <xf numFmtId="2" fontId="0" fillId="2" borderId="0" xfId="0" applyNumberFormat="1" applyFill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A0666-9752-48F9-B0EC-D4A5BBF6C73A}">
  <dimension ref="A1:Y28"/>
  <sheetViews>
    <sheetView tabSelected="1" workbookViewId="0">
      <selection activeCell="N9" sqref="N9"/>
    </sheetView>
  </sheetViews>
  <sheetFormatPr defaultRowHeight="14.5" x14ac:dyDescent="0.35"/>
  <cols>
    <col min="1" max="1" width="11.7265625" customWidth="1"/>
    <col min="2" max="2" width="9.453125" bestFit="1" customWidth="1"/>
    <col min="3" max="3" width="9.6328125" customWidth="1"/>
    <col min="4" max="4" width="7.6328125" customWidth="1"/>
    <col min="5" max="5" width="14.7265625" customWidth="1"/>
    <col min="6" max="6" width="8.81640625" bestFit="1" customWidth="1"/>
    <col min="7" max="7" width="12.81640625" customWidth="1"/>
    <col min="8" max="8" width="13.08984375" bestFit="1" customWidth="1"/>
    <col min="9" max="9" width="8.36328125" customWidth="1"/>
    <col min="10" max="10" width="8.81640625" style="4" bestFit="1" customWidth="1"/>
  </cols>
  <sheetData>
    <row r="1" spans="1:25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4" t="s">
        <v>8</v>
      </c>
      <c r="J1" s="4" t="s">
        <v>7</v>
      </c>
    </row>
    <row r="2" spans="1:25" ht="29" x14ac:dyDescent="0.35">
      <c r="A2" t="s">
        <v>9</v>
      </c>
      <c r="B2" s="1">
        <v>1</v>
      </c>
      <c r="C2">
        <v>2</v>
      </c>
      <c r="D2">
        <v>2</v>
      </c>
      <c r="E2">
        <v>5</v>
      </c>
      <c r="F2">
        <v>4</v>
      </c>
      <c r="G2">
        <v>4</v>
      </c>
      <c r="H2">
        <v>3</v>
      </c>
      <c r="I2">
        <v>2</v>
      </c>
      <c r="J2" s="4">
        <v>2</v>
      </c>
      <c r="P2" s="14" t="s">
        <v>26</v>
      </c>
      <c r="Q2" s="14" t="s">
        <v>9</v>
      </c>
      <c r="R2" s="14" t="s">
        <v>1</v>
      </c>
      <c r="S2" s="14" t="s">
        <v>2</v>
      </c>
      <c r="T2" s="14" t="s">
        <v>3</v>
      </c>
      <c r="U2" s="14" t="s">
        <v>4</v>
      </c>
      <c r="V2" s="14" t="s">
        <v>27</v>
      </c>
      <c r="W2" s="14" t="s">
        <v>28</v>
      </c>
      <c r="X2" s="14" t="s">
        <v>7</v>
      </c>
      <c r="Y2" s="14" t="s">
        <v>8</v>
      </c>
    </row>
    <row r="3" spans="1:25" ht="29" x14ac:dyDescent="0.35">
      <c r="A3" t="s">
        <v>1</v>
      </c>
      <c r="B3" s="3">
        <v>0.5</v>
      </c>
      <c r="C3" s="1">
        <v>1</v>
      </c>
      <c r="D3">
        <v>1</v>
      </c>
      <c r="E3">
        <v>2</v>
      </c>
      <c r="F3">
        <v>1</v>
      </c>
      <c r="G3">
        <v>1</v>
      </c>
      <c r="H3">
        <v>1</v>
      </c>
      <c r="I3">
        <v>2</v>
      </c>
      <c r="J3" s="4">
        <v>2</v>
      </c>
      <c r="P3" s="15" t="s">
        <v>9</v>
      </c>
      <c r="Q3" s="13">
        <v>1</v>
      </c>
      <c r="R3" s="15">
        <v>7</v>
      </c>
      <c r="S3" s="15">
        <v>5</v>
      </c>
      <c r="T3" s="15">
        <v>3</v>
      </c>
      <c r="U3" s="15">
        <v>4</v>
      </c>
      <c r="V3" s="15">
        <v>4</v>
      </c>
      <c r="W3" s="15">
        <v>5</v>
      </c>
      <c r="X3" s="15">
        <v>3</v>
      </c>
      <c r="Y3" s="15">
        <v>3</v>
      </c>
    </row>
    <row r="4" spans="1:25" x14ac:dyDescent="0.35">
      <c r="A4" t="s">
        <v>2</v>
      </c>
      <c r="B4" s="3">
        <v>0.5</v>
      </c>
      <c r="C4" s="3">
        <v>1</v>
      </c>
      <c r="D4" s="1">
        <v>1</v>
      </c>
      <c r="E4">
        <v>3</v>
      </c>
      <c r="F4">
        <v>2</v>
      </c>
      <c r="G4">
        <v>1</v>
      </c>
      <c r="H4">
        <v>2</v>
      </c>
      <c r="I4">
        <v>3</v>
      </c>
      <c r="J4" s="4">
        <v>3</v>
      </c>
      <c r="P4" s="15" t="s">
        <v>1</v>
      </c>
      <c r="Q4" s="13"/>
      <c r="R4" s="13">
        <v>1</v>
      </c>
      <c r="S4" s="15">
        <v>3</v>
      </c>
      <c r="T4" s="15">
        <v>3</v>
      </c>
      <c r="U4" s="15">
        <v>5</v>
      </c>
      <c r="V4" s="15">
        <v>5</v>
      </c>
      <c r="W4" s="15">
        <v>3</v>
      </c>
      <c r="X4" s="15">
        <v>3</v>
      </c>
      <c r="Y4" s="15">
        <v>3</v>
      </c>
    </row>
    <row r="5" spans="1:25" x14ac:dyDescent="0.35">
      <c r="A5" t="s">
        <v>3</v>
      </c>
      <c r="B5" s="3">
        <v>0.2</v>
      </c>
      <c r="C5" s="3">
        <v>0.5</v>
      </c>
      <c r="D5" s="3">
        <v>0.33</v>
      </c>
      <c r="E5" s="1">
        <v>1</v>
      </c>
      <c r="F5" s="7">
        <v>0.5</v>
      </c>
      <c r="G5" s="3">
        <v>0.33</v>
      </c>
      <c r="H5" s="3">
        <v>0.5</v>
      </c>
      <c r="I5" s="3">
        <v>1</v>
      </c>
      <c r="J5" s="6">
        <v>1</v>
      </c>
      <c r="P5" s="15" t="s">
        <v>2</v>
      </c>
      <c r="Q5" s="13"/>
      <c r="R5" s="13"/>
      <c r="S5" s="13">
        <v>1</v>
      </c>
      <c r="T5" s="15">
        <v>3</v>
      </c>
      <c r="U5" s="15">
        <v>5</v>
      </c>
      <c r="V5" s="15">
        <v>5</v>
      </c>
      <c r="W5" s="15">
        <v>3</v>
      </c>
      <c r="X5" s="15">
        <v>3</v>
      </c>
      <c r="Y5" s="15">
        <v>3</v>
      </c>
    </row>
    <row r="6" spans="1:25" ht="29" x14ac:dyDescent="0.35">
      <c r="A6" t="s">
        <v>4</v>
      </c>
      <c r="B6" s="3">
        <v>0.25</v>
      </c>
      <c r="C6" s="3">
        <v>1</v>
      </c>
      <c r="D6" s="3">
        <v>0.5</v>
      </c>
      <c r="E6" s="3">
        <v>2</v>
      </c>
      <c r="F6" s="1">
        <v>1</v>
      </c>
      <c r="G6" s="3">
        <v>1</v>
      </c>
      <c r="H6" s="3">
        <v>1</v>
      </c>
      <c r="I6" s="3">
        <v>2</v>
      </c>
      <c r="J6" s="6">
        <v>2</v>
      </c>
      <c r="P6" s="15" t="s">
        <v>3</v>
      </c>
      <c r="Q6" s="13"/>
      <c r="R6" s="13"/>
      <c r="S6" s="13"/>
      <c r="T6" s="13">
        <v>1</v>
      </c>
      <c r="U6" s="15">
        <v>5</v>
      </c>
      <c r="V6" s="15">
        <v>5</v>
      </c>
      <c r="W6" s="15">
        <v>3</v>
      </c>
      <c r="X6" s="15">
        <v>3</v>
      </c>
      <c r="Y6" s="15">
        <v>3</v>
      </c>
    </row>
    <row r="7" spans="1:25" x14ac:dyDescent="0.35">
      <c r="A7" t="s">
        <v>5</v>
      </c>
      <c r="B7" s="3">
        <v>0.25</v>
      </c>
      <c r="C7" s="3">
        <v>1</v>
      </c>
      <c r="D7" s="3">
        <v>1</v>
      </c>
      <c r="E7" s="3">
        <v>0.33</v>
      </c>
      <c r="F7" s="3">
        <v>1</v>
      </c>
      <c r="G7" s="1">
        <v>1</v>
      </c>
      <c r="H7" s="3">
        <v>2</v>
      </c>
      <c r="I7" s="3">
        <v>3</v>
      </c>
      <c r="J7" s="6">
        <v>3</v>
      </c>
      <c r="P7" s="15" t="s">
        <v>4</v>
      </c>
      <c r="Q7" s="13"/>
      <c r="R7" s="13"/>
      <c r="S7" s="13"/>
      <c r="T7" s="13"/>
      <c r="U7" s="13">
        <v>1</v>
      </c>
      <c r="V7" s="15">
        <v>3</v>
      </c>
      <c r="W7" s="15">
        <v>3</v>
      </c>
      <c r="X7" s="15">
        <v>3</v>
      </c>
      <c r="Y7" s="15">
        <v>3</v>
      </c>
    </row>
    <row r="8" spans="1:25" x14ac:dyDescent="0.35">
      <c r="A8" t="s">
        <v>6</v>
      </c>
      <c r="B8" s="3">
        <v>0.33</v>
      </c>
      <c r="C8" s="3">
        <v>1</v>
      </c>
      <c r="D8" s="3">
        <v>0.5</v>
      </c>
      <c r="E8" s="3">
        <v>2</v>
      </c>
      <c r="F8" s="3">
        <v>1</v>
      </c>
      <c r="G8" s="3">
        <v>0.5</v>
      </c>
      <c r="H8" s="1">
        <v>1</v>
      </c>
      <c r="I8" s="3">
        <v>2</v>
      </c>
      <c r="J8" s="6">
        <v>2</v>
      </c>
      <c r="P8" s="15" t="s">
        <v>27</v>
      </c>
      <c r="Q8" s="13"/>
      <c r="R8" s="13"/>
      <c r="S8" s="13"/>
      <c r="T8" s="13"/>
      <c r="U8" s="13"/>
      <c r="V8" s="13">
        <v>1</v>
      </c>
      <c r="W8" s="15">
        <v>3</v>
      </c>
      <c r="X8" s="15">
        <v>3</v>
      </c>
      <c r="Y8" s="15">
        <v>3</v>
      </c>
    </row>
    <row r="9" spans="1:25" ht="29" x14ac:dyDescent="0.35">
      <c r="A9" t="s">
        <v>8</v>
      </c>
      <c r="B9" s="3">
        <v>0.5</v>
      </c>
      <c r="C9" s="3">
        <v>0.5</v>
      </c>
      <c r="D9" s="3">
        <v>0.33</v>
      </c>
      <c r="E9" s="3">
        <v>1</v>
      </c>
      <c r="F9" s="3">
        <v>0.5</v>
      </c>
      <c r="G9" s="3">
        <v>0.33</v>
      </c>
      <c r="H9" s="3">
        <v>0.5</v>
      </c>
      <c r="I9" s="1">
        <v>1</v>
      </c>
      <c r="J9" s="6">
        <v>1</v>
      </c>
      <c r="P9" s="15" t="s">
        <v>6</v>
      </c>
      <c r="Q9" s="13"/>
      <c r="R9" s="13"/>
      <c r="S9" s="13"/>
      <c r="T9" s="13"/>
      <c r="U9" s="13"/>
      <c r="V9" s="13"/>
      <c r="W9" s="13">
        <v>1</v>
      </c>
      <c r="X9" s="15">
        <v>3</v>
      </c>
      <c r="Y9" s="15">
        <v>3</v>
      </c>
    </row>
    <row r="10" spans="1:25" x14ac:dyDescent="0.35">
      <c r="A10" t="s">
        <v>7</v>
      </c>
      <c r="B10" s="3">
        <v>0.5</v>
      </c>
      <c r="C10" s="3">
        <v>0.5</v>
      </c>
      <c r="D10" s="3">
        <v>0.33</v>
      </c>
      <c r="E10" s="3">
        <v>1</v>
      </c>
      <c r="F10" s="3">
        <v>0.5</v>
      </c>
      <c r="G10" s="3">
        <v>0.33</v>
      </c>
      <c r="H10" s="3">
        <v>0.5</v>
      </c>
      <c r="I10" s="3">
        <v>1</v>
      </c>
      <c r="J10" s="5">
        <v>1</v>
      </c>
      <c r="P10" s="15" t="s">
        <v>7</v>
      </c>
      <c r="Q10" s="13"/>
      <c r="R10" s="13"/>
      <c r="S10" s="13"/>
      <c r="T10" s="13"/>
      <c r="U10" s="13"/>
      <c r="V10" s="13"/>
      <c r="W10" s="13"/>
      <c r="X10" s="13">
        <v>1</v>
      </c>
      <c r="Y10" s="15">
        <v>3</v>
      </c>
    </row>
    <row r="11" spans="1:25" x14ac:dyDescent="0.35">
      <c r="A11" t="s">
        <v>11</v>
      </c>
      <c r="B11">
        <f t="shared" ref="B11:J11" si="0">SUM(B2:B10)</f>
        <v>4.03</v>
      </c>
      <c r="C11">
        <f t="shared" si="0"/>
        <v>8.5</v>
      </c>
      <c r="D11">
        <f t="shared" si="0"/>
        <v>6.99</v>
      </c>
      <c r="E11">
        <f t="shared" si="0"/>
        <v>17.329999999999998</v>
      </c>
      <c r="F11">
        <f t="shared" si="0"/>
        <v>11.5</v>
      </c>
      <c r="G11">
        <f t="shared" si="0"/>
        <v>9.49</v>
      </c>
      <c r="H11">
        <f t="shared" si="0"/>
        <v>11.5</v>
      </c>
      <c r="I11">
        <f t="shared" si="0"/>
        <v>17</v>
      </c>
      <c r="J11">
        <f t="shared" si="0"/>
        <v>17</v>
      </c>
      <c r="P11" s="15" t="s">
        <v>8</v>
      </c>
      <c r="Q11" s="13"/>
      <c r="R11" s="13"/>
      <c r="S11" s="13"/>
      <c r="T11" s="13"/>
      <c r="U11" s="13"/>
      <c r="V11" s="13"/>
      <c r="W11" s="13"/>
      <c r="X11" s="13"/>
      <c r="Y11" s="13">
        <v>1</v>
      </c>
    </row>
    <row r="18" spans="1:15" x14ac:dyDescent="0.35">
      <c r="B18" t="s">
        <v>0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 t="s">
        <v>6</v>
      </c>
      <c r="I18" t="s">
        <v>7</v>
      </c>
      <c r="J18" s="4" t="s">
        <v>8</v>
      </c>
      <c r="K18" t="s">
        <v>12</v>
      </c>
      <c r="L18" t="s">
        <v>13</v>
      </c>
      <c r="M18" t="s">
        <v>14</v>
      </c>
      <c r="N18" t="s">
        <v>15</v>
      </c>
      <c r="O18" t="s">
        <v>16</v>
      </c>
    </row>
    <row r="19" spans="1:15" x14ac:dyDescent="0.35">
      <c r="A19" t="s">
        <v>9</v>
      </c>
      <c r="B19">
        <f t="shared" ref="B19:J19" si="1">B2/B$11</f>
        <v>0.24813895781637715</v>
      </c>
      <c r="C19">
        <f t="shared" si="1"/>
        <v>0.23529411764705882</v>
      </c>
      <c r="D19">
        <f t="shared" si="1"/>
        <v>0.28612303290414876</v>
      </c>
      <c r="E19">
        <f t="shared" si="1"/>
        <v>0.28851702250432776</v>
      </c>
      <c r="F19">
        <f t="shared" si="1"/>
        <v>0.34782608695652173</v>
      </c>
      <c r="G19">
        <f t="shared" si="1"/>
        <v>0.42149631190727083</v>
      </c>
      <c r="H19">
        <f t="shared" si="1"/>
        <v>0.2608695652173913</v>
      </c>
      <c r="I19">
        <f t="shared" si="1"/>
        <v>0.11764705882352941</v>
      </c>
      <c r="J19" s="4">
        <f t="shared" si="1"/>
        <v>0.11764705882352941</v>
      </c>
      <c r="K19">
        <f>AVERAGE(B19:J19)</f>
        <v>0.25817324584446166</v>
      </c>
      <c r="L19" s="2">
        <f>MMULT(B2:J2,K19:K27)/K19</f>
        <v>9.3681164797434384</v>
      </c>
      <c r="M19" s="2">
        <f>(L28- 9)/8</f>
        <v>4.6014559967929802E-2</v>
      </c>
      <c r="N19">
        <v>1.46</v>
      </c>
      <c r="O19">
        <f>M19/N19</f>
        <v>3.1516821895842331E-2</v>
      </c>
    </row>
    <row r="20" spans="1:15" x14ac:dyDescent="0.35">
      <c r="A20" t="s">
        <v>1</v>
      </c>
      <c r="B20">
        <f t="shared" ref="B20:J28" si="2">B3/B$11</f>
        <v>0.12406947890818858</v>
      </c>
      <c r="C20">
        <f t="shared" si="2"/>
        <v>0.11764705882352941</v>
      </c>
      <c r="D20">
        <f t="shared" si="2"/>
        <v>0.14306151645207438</v>
      </c>
      <c r="E20">
        <f t="shared" si="2"/>
        <v>0.11540680900173111</v>
      </c>
      <c r="F20">
        <f t="shared" si="2"/>
        <v>8.6956521739130432E-2</v>
      </c>
      <c r="G20">
        <f t="shared" si="2"/>
        <v>0.10537407797681771</v>
      </c>
      <c r="H20">
        <f t="shared" si="2"/>
        <v>8.6956521739130432E-2</v>
      </c>
      <c r="I20">
        <f t="shared" si="2"/>
        <v>0.11764705882352941</v>
      </c>
      <c r="J20" s="4">
        <f t="shared" si="2"/>
        <v>0.11764705882352941</v>
      </c>
      <c r="K20">
        <f t="shared" ref="K20:K28" si="3">AVERAGE(B20:J20)</f>
        <v>0.11275178914307343</v>
      </c>
      <c r="L20" s="2">
        <f>MMULT(B3:J3,K19:K27)/K20</f>
        <v>9.2093438122560407</v>
      </c>
      <c r="M20" s="2">
        <f>(L28-9)/8</f>
        <v>4.6014559967929802E-2</v>
      </c>
      <c r="N20">
        <v>1.46</v>
      </c>
      <c r="O20">
        <f t="shared" ref="O20:O27" si="4">M20/N20</f>
        <v>3.1516821895842331E-2</v>
      </c>
    </row>
    <row r="21" spans="1:15" x14ac:dyDescent="0.35">
      <c r="A21" t="s">
        <v>2</v>
      </c>
      <c r="B21">
        <f t="shared" si="2"/>
        <v>0.12406947890818858</v>
      </c>
      <c r="C21">
        <f t="shared" si="2"/>
        <v>0.11764705882352941</v>
      </c>
      <c r="D21">
        <f t="shared" si="2"/>
        <v>0.14306151645207438</v>
      </c>
      <c r="E21">
        <f t="shared" si="2"/>
        <v>0.17311021350259667</v>
      </c>
      <c r="F21">
        <f t="shared" si="2"/>
        <v>0.17391304347826086</v>
      </c>
      <c r="G21">
        <f t="shared" si="2"/>
        <v>0.10537407797681771</v>
      </c>
      <c r="H21">
        <f t="shared" si="2"/>
        <v>0.17391304347826086</v>
      </c>
      <c r="I21">
        <f t="shared" si="2"/>
        <v>0.17647058823529413</v>
      </c>
      <c r="J21" s="4">
        <f t="shared" si="2"/>
        <v>0.17647058823529413</v>
      </c>
      <c r="K21">
        <f t="shared" si="3"/>
        <v>0.15155884545447965</v>
      </c>
      <c r="L21" s="2">
        <f>MMULT(B4:J4,K19:K27)/K21</f>
        <v>9.2241434198214947</v>
      </c>
      <c r="M21" s="2">
        <f>(L28-9)/8</f>
        <v>4.6014559967929802E-2</v>
      </c>
      <c r="N21">
        <v>1.46</v>
      </c>
      <c r="O21">
        <f t="shared" si="4"/>
        <v>3.1516821895842331E-2</v>
      </c>
    </row>
    <row r="22" spans="1:15" x14ac:dyDescent="0.35">
      <c r="A22" t="s">
        <v>3</v>
      </c>
      <c r="B22">
        <f t="shared" si="2"/>
        <v>4.9627791563275431E-2</v>
      </c>
      <c r="C22">
        <f t="shared" si="2"/>
        <v>5.8823529411764705E-2</v>
      </c>
      <c r="D22">
        <f t="shared" si="2"/>
        <v>4.7210300429184553E-2</v>
      </c>
      <c r="E22">
        <f t="shared" si="2"/>
        <v>5.7703404500865557E-2</v>
      </c>
      <c r="F22">
        <f t="shared" si="2"/>
        <v>4.3478260869565216E-2</v>
      </c>
      <c r="G22">
        <f t="shared" si="2"/>
        <v>3.4773445732349841E-2</v>
      </c>
      <c r="H22">
        <f t="shared" si="2"/>
        <v>4.3478260869565216E-2</v>
      </c>
      <c r="I22">
        <f t="shared" si="2"/>
        <v>5.8823529411764705E-2</v>
      </c>
      <c r="J22" s="4">
        <f t="shared" si="2"/>
        <v>5.8823529411764705E-2</v>
      </c>
      <c r="K22">
        <f t="shared" si="3"/>
        <v>5.0304672466677774E-2</v>
      </c>
      <c r="L22" s="2">
        <f>MMULT(B5:J5,K19:K27)/K22</f>
        <v>9.1536383782800392</v>
      </c>
      <c r="M22" s="2">
        <f>(L28-9)/8</f>
        <v>4.6014559967929802E-2</v>
      </c>
      <c r="N22">
        <v>1.46</v>
      </c>
      <c r="O22">
        <f t="shared" si="4"/>
        <v>3.1516821895842331E-2</v>
      </c>
    </row>
    <row r="23" spans="1:15" x14ac:dyDescent="0.35">
      <c r="A23" t="s">
        <v>4</v>
      </c>
      <c r="B23">
        <f t="shared" si="2"/>
        <v>6.2034739454094288E-2</v>
      </c>
      <c r="C23">
        <f t="shared" si="2"/>
        <v>0.11764705882352941</v>
      </c>
      <c r="D23">
        <f t="shared" si="2"/>
        <v>7.1530758226037189E-2</v>
      </c>
      <c r="E23">
        <f t="shared" si="2"/>
        <v>0.11540680900173111</v>
      </c>
      <c r="F23">
        <f t="shared" si="2"/>
        <v>8.6956521739130432E-2</v>
      </c>
      <c r="G23">
        <f t="shared" si="2"/>
        <v>0.10537407797681771</v>
      </c>
      <c r="H23">
        <f t="shared" si="2"/>
        <v>8.6956521739130432E-2</v>
      </c>
      <c r="I23">
        <f t="shared" si="2"/>
        <v>0.11764705882352941</v>
      </c>
      <c r="J23" s="4">
        <f t="shared" si="2"/>
        <v>0.11764705882352941</v>
      </c>
      <c r="K23">
        <f t="shared" si="3"/>
        <v>9.7911178289725509E-2</v>
      </c>
      <c r="L23" s="2">
        <f>MMULT(B6:J6,K19:K27)/K23</f>
        <v>9.1720605671788142</v>
      </c>
      <c r="M23" s="2">
        <f>(L28-9)/8</f>
        <v>4.6014559967929802E-2</v>
      </c>
      <c r="N23">
        <v>1.46</v>
      </c>
      <c r="O23">
        <f t="shared" si="4"/>
        <v>3.1516821895842331E-2</v>
      </c>
    </row>
    <row r="24" spans="1:15" x14ac:dyDescent="0.35">
      <c r="A24" t="s">
        <v>5</v>
      </c>
      <c r="B24">
        <f t="shared" si="2"/>
        <v>6.2034739454094288E-2</v>
      </c>
      <c r="C24">
        <f t="shared" si="2"/>
        <v>0.11764705882352941</v>
      </c>
      <c r="D24">
        <f t="shared" si="2"/>
        <v>0.14306151645207438</v>
      </c>
      <c r="E24">
        <f t="shared" si="2"/>
        <v>1.9042123485285636E-2</v>
      </c>
      <c r="F24">
        <f t="shared" si="2"/>
        <v>8.6956521739130432E-2</v>
      </c>
      <c r="G24">
        <f t="shared" si="2"/>
        <v>0.10537407797681771</v>
      </c>
      <c r="H24">
        <f t="shared" si="2"/>
        <v>0.17391304347826086</v>
      </c>
      <c r="I24">
        <f t="shared" si="2"/>
        <v>0.17647058823529413</v>
      </c>
      <c r="J24" s="4">
        <f t="shared" si="2"/>
        <v>0.17647058823529413</v>
      </c>
      <c r="K24">
        <f t="shared" si="3"/>
        <v>0.11788558420886457</v>
      </c>
      <c r="L24" s="2">
        <f>MMULT(B7:J7,K19:K27)/K24</f>
        <v>9.3415371282946271</v>
      </c>
      <c r="M24" s="2">
        <f>(L28-9)/8</f>
        <v>4.6014559967929802E-2</v>
      </c>
      <c r="N24">
        <v>1.46</v>
      </c>
      <c r="O24">
        <f t="shared" si="4"/>
        <v>3.1516821895842331E-2</v>
      </c>
    </row>
    <row r="25" spans="1:15" x14ac:dyDescent="0.35">
      <c r="A25" t="s">
        <v>6</v>
      </c>
      <c r="B25">
        <f t="shared" si="2"/>
        <v>8.1885856079404462E-2</v>
      </c>
      <c r="C25">
        <f t="shared" si="2"/>
        <v>0.11764705882352941</v>
      </c>
      <c r="D25">
        <f t="shared" si="2"/>
        <v>7.1530758226037189E-2</v>
      </c>
      <c r="E25">
        <f t="shared" si="2"/>
        <v>0.11540680900173111</v>
      </c>
      <c r="F25">
        <f t="shared" si="2"/>
        <v>8.6956521739130432E-2</v>
      </c>
      <c r="G25">
        <f t="shared" si="2"/>
        <v>5.2687038988408853E-2</v>
      </c>
      <c r="H25">
        <f t="shared" si="2"/>
        <v>8.6956521739130432E-2</v>
      </c>
      <c r="I25">
        <f t="shared" si="2"/>
        <v>0.11764705882352941</v>
      </c>
      <c r="J25" s="4">
        <f t="shared" si="2"/>
        <v>0.11764705882352941</v>
      </c>
      <c r="K25">
        <f t="shared" si="3"/>
        <v>9.4262742471603433E-2</v>
      </c>
      <c r="L25" s="2">
        <f>MMULT(B8:J8,K19:K27)/K25</f>
        <v>9.1208711151103188</v>
      </c>
      <c r="M25" s="2">
        <f>(L28-9)/8</f>
        <v>4.6014559967929802E-2</v>
      </c>
      <c r="N25">
        <v>1.46</v>
      </c>
      <c r="O25">
        <f t="shared" si="4"/>
        <v>3.1516821895842331E-2</v>
      </c>
    </row>
    <row r="26" spans="1:15" x14ac:dyDescent="0.35">
      <c r="A26" t="s">
        <v>10</v>
      </c>
      <c r="B26">
        <f t="shared" si="2"/>
        <v>0.12406947890818858</v>
      </c>
      <c r="C26">
        <f t="shared" si="2"/>
        <v>5.8823529411764705E-2</v>
      </c>
      <c r="D26">
        <f t="shared" si="2"/>
        <v>4.7210300429184553E-2</v>
      </c>
      <c r="E26">
        <f t="shared" si="2"/>
        <v>5.7703404500865557E-2</v>
      </c>
      <c r="F26">
        <f t="shared" si="2"/>
        <v>4.3478260869565216E-2</v>
      </c>
      <c r="G26">
        <f t="shared" si="2"/>
        <v>3.4773445732349841E-2</v>
      </c>
      <c r="H26">
        <f t="shared" si="2"/>
        <v>4.3478260869565216E-2</v>
      </c>
      <c r="I26">
        <f t="shared" si="2"/>
        <v>5.8823529411764705E-2</v>
      </c>
      <c r="J26" s="4">
        <f t="shared" si="2"/>
        <v>5.8823529411764705E-2</v>
      </c>
      <c r="K26">
        <f t="shared" si="3"/>
        <v>5.8575971060557008E-2</v>
      </c>
      <c r="L26" s="2">
        <f>MMULT(B9:J9,K19:K27)/K26</f>
        <v>9.1833348130927615</v>
      </c>
      <c r="M26" s="2">
        <f>(L28-9)/8</f>
        <v>4.6014559967929802E-2</v>
      </c>
      <c r="N26">
        <v>1.46</v>
      </c>
      <c r="O26">
        <f t="shared" si="4"/>
        <v>3.1516821895842331E-2</v>
      </c>
    </row>
    <row r="27" spans="1:15" x14ac:dyDescent="0.35">
      <c r="A27" t="s">
        <v>8</v>
      </c>
      <c r="B27">
        <f t="shared" si="2"/>
        <v>0.12406947890818858</v>
      </c>
      <c r="C27">
        <f t="shared" si="2"/>
        <v>5.8823529411764705E-2</v>
      </c>
      <c r="D27">
        <f t="shared" si="2"/>
        <v>4.7210300429184553E-2</v>
      </c>
      <c r="E27">
        <f t="shared" si="2"/>
        <v>5.7703404500865557E-2</v>
      </c>
      <c r="F27">
        <f t="shared" si="2"/>
        <v>4.3478260869565216E-2</v>
      </c>
      <c r="G27">
        <f t="shared" si="2"/>
        <v>3.4773445732349841E-2</v>
      </c>
      <c r="H27">
        <f t="shared" si="2"/>
        <v>4.3478260869565216E-2</v>
      </c>
      <c r="I27">
        <f t="shared" si="2"/>
        <v>5.8823529411764705E-2</v>
      </c>
      <c r="J27" s="4">
        <f t="shared" si="2"/>
        <v>5.8823529411764705E-2</v>
      </c>
      <c r="K27">
        <f t="shared" si="3"/>
        <v>5.8575971060557008E-2</v>
      </c>
      <c r="L27" s="2">
        <f>MMULT(B10:J10,K19:K27)/K27</f>
        <v>9.1833348130927615</v>
      </c>
      <c r="M27" s="2">
        <f>(L28-9)/8</f>
        <v>4.6014559967929802E-2</v>
      </c>
      <c r="N27">
        <v>1.46</v>
      </c>
      <c r="O27">
        <f t="shared" si="4"/>
        <v>3.1516821895842331E-2</v>
      </c>
    </row>
    <row r="28" spans="1:15" x14ac:dyDescent="0.35">
      <c r="A28" t="s">
        <v>11</v>
      </c>
      <c r="B28">
        <f t="shared" si="2"/>
        <v>1</v>
      </c>
      <c r="C28">
        <f t="shared" si="2"/>
        <v>1</v>
      </c>
      <c r="D28">
        <f t="shared" si="2"/>
        <v>1</v>
      </c>
      <c r="E28">
        <f t="shared" si="2"/>
        <v>1</v>
      </c>
      <c r="F28">
        <f t="shared" si="2"/>
        <v>1</v>
      </c>
      <c r="G28">
        <f t="shared" si="2"/>
        <v>1</v>
      </c>
      <c r="H28">
        <f t="shared" si="2"/>
        <v>1</v>
      </c>
      <c r="I28">
        <f t="shared" si="2"/>
        <v>1</v>
      </c>
      <c r="J28" s="4">
        <f t="shared" si="2"/>
        <v>1</v>
      </c>
      <c r="K28">
        <f t="shared" si="3"/>
        <v>1</v>
      </c>
      <c r="L28" s="3">
        <f>MAX(L19:L27)</f>
        <v>9.3681164797434384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C448-2A2E-4D8C-AAD4-542EB1600AF1}">
  <dimension ref="A1:M65"/>
  <sheetViews>
    <sheetView topLeftCell="B37" workbookViewId="0">
      <selection activeCell="L56" sqref="L56:L64"/>
    </sheetView>
  </sheetViews>
  <sheetFormatPr defaultRowHeight="14.5" x14ac:dyDescent="0.35"/>
  <cols>
    <col min="2" max="2" width="20.36328125" bestFit="1" customWidth="1"/>
    <col min="3" max="5" width="20.54296875" bestFit="1" customWidth="1"/>
    <col min="6" max="10" width="21.453125" bestFit="1" customWidth="1"/>
    <col min="11" max="11" width="33.81640625" customWidth="1"/>
    <col min="12" max="12" width="16.7265625" bestFit="1" customWidth="1"/>
  </cols>
  <sheetData>
    <row r="1" spans="1:1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4" t="s">
        <v>8</v>
      </c>
    </row>
    <row r="2" spans="1:13" x14ac:dyDescent="0.35">
      <c r="A2" t="s">
        <v>9</v>
      </c>
      <c r="B2" s="1">
        <v>1</v>
      </c>
      <c r="C2">
        <v>7</v>
      </c>
      <c r="D2">
        <v>5</v>
      </c>
      <c r="E2">
        <v>3</v>
      </c>
      <c r="F2">
        <v>4</v>
      </c>
      <c r="G2">
        <v>4</v>
      </c>
      <c r="H2">
        <v>5</v>
      </c>
      <c r="I2">
        <v>3</v>
      </c>
      <c r="J2" s="4">
        <v>3</v>
      </c>
    </row>
    <row r="3" spans="1:13" x14ac:dyDescent="0.35">
      <c r="A3" t="s">
        <v>1</v>
      </c>
      <c r="B3" s="3">
        <v>0.14280000000000001</v>
      </c>
      <c r="C3" s="1">
        <v>1</v>
      </c>
      <c r="D3">
        <v>3</v>
      </c>
      <c r="E3">
        <v>3</v>
      </c>
      <c r="F3">
        <v>5</v>
      </c>
      <c r="G3">
        <v>5</v>
      </c>
      <c r="H3">
        <v>1</v>
      </c>
      <c r="I3">
        <v>3</v>
      </c>
      <c r="J3" s="4">
        <v>3</v>
      </c>
    </row>
    <row r="4" spans="1:13" x14ac:dyDescent="0.35">
      <c r="A4" t="s">
        <v>2</v>
      </c>
      <c r="B4" s="3">
        <v>0.2</v>
      </c>
      <c r="C4" s="3">
        <v>0.33</v>
      </c>
      <c r="D4" s="1">
        <v>1</v>
      </c>
      <c r="E4">
        <v>3</v>
      </c>
      <c r="F4">
        <v>5</v>
      </c>
      <c r="G4">
        <v>5</v>
      </c>
      <c r="H4">
        <v>3</v>
      </c>
      <c r="I4">
        <v>3</v>
      </c>
      <c r="J4" s="4">
        <v>3</v>
      </c>
    </row>
    <row r="5" spans="1:13" x14ac:dyDescent="0.35">
      <c r="A5" t="s">
        <v>3</v>
      </c>
      <c r="B5" s="3">
        <v>0.33</v>
      </c>
      <c r="C5" s="3">
        <v>0.33</v>
      </c>
      <c r="D5" s="3">
        <v>0.33</v>
      </c>
      <c r="E5" s="1">
        <v>1</v>
      </c>
      <c r="F5" s="7">
        <v>5</v>
      </c>
      <c r="G5" s="3">
        <v>5</v>
      </c>
      <c r="H5" s="3">
        <v>3</v>
      </c>
      <c r="I5" s="3">
        <v>3</v>
      </c>
      <c r="J5" s="6">
        <v>3</v>
      </c>
    </row>
    <row r="6" spans="1:13" x14ac:dyDescent="0.35">
      <c r="A6" t="s">
        <v>4</v>
      </c>
      <c r="B6" s="3">
        <v>0.25</v>
      </c>
      <c r="C6" s="3">
        <v>0.2</v>
      </c>
      <c r="D6" s="3">
        <v>0.2</v>
      </c>
      <c r="E6" s="3">
        <v>0.2</v>
      </c>
      <c r="F6" s="1">
        <v>1</v>
      </c>
      <c r="G6" s="3">
        <v>5</v>
      </c>
      <c r="H6" s="3">
        <v>3</v>
      </c>
      <c r="I6" s="3">
        <v>3</v>
      </c>
      <c r="J6" s="6">
        <v>3</v>
      </c>
    </row>
    <row r="7" spans="1:13" x14ac:dyDescent="0.35">
      <c r="A7" t="s">
        <v>5</v>
      </c>
      <c r="B7" s="3">
        <v>0.25</v>
      </c>
      <c r="C7" s="3">
        <v>0.2</v>
      </c>
      <c r="D7" s="3">
        <v>0.2</v>
      </c>
      <c r="E7" s="3">
        <v>0.2</v>
      </c>
      <c r="F7" s="3">
        <v>0.2</v>
      </c>
      <c r="G7" s="1">
        <v>1</v>
      </c>
      <c r="H7" s="3">
        <v>3</v>
      </c>
      <c r="I7" s="3">
        <v>3</v>
      </c>
      <c r="J7" s="6">
        <v>3</v>
      </c>
    </row>
    <row r="8" spans="1:13" x14ac:dyDescent="0.35">
      <c r="A8" t="s">
        <v>6</v>
      </c>
      <c r="B8" s="3">
        <v>0.2</v>
      </c>
      <c r="C8" s="3">
        <v>1</v>
      </c>
      <c r="D8" s="3">
        <v>0.33</v>
      </c>
      <c r="E8" s="3">
        <v>0.33</v>
      </c>
      <c r="F8" s="3">
        <v>0.33</v>
      </c>
      <c r="G8" s="3">
        <v>0.33</v>
      </c>
      <c r="H8" s="1">
        <v>1</v>
      </c>
      <c r="I8" s="3">
        <v>3</v>
      </c>
      <c r="J8" s="6">
        <v>3</v>
      </c>
    </row>
    <row r="9" spans="1:13" x14ac:dyDescent="0.35">
      <c r="A9" t="s">
        <v>10</v>
      </c>
      <c r="B9" s="3">
        <v>0.33</v>
      </c>
      <c r="C9" s="3">
        <v>0.33</v>
      </c>
      <c r="D9" s="3">
        <v>0.33</v>
      </c>
      <c r="E9" s="3">
        <v>0.33</v>
      </c>
      <c r="F9" s="3">
        <v>0.33</v>
      </c>
      <c r="G9" s="3">
        <v>0.33</v>
      </c>
      <c r="H9" s="3">
        <v>0.33</v>
      </c>
      <c r="I9" s="1">
        <v>1</v>
      </c>
      <c r="J9" s="6">
        <v>3</v>
      </c>
    </row>
    <row r="10" spans="1:13" x14ac:dyDescent="0.35">
      <c r="A10" t="s">
        <v>8</v>
      </c>
      <c r="B10" s="3">
        <v>0.33</v>
      </c>
      <c r="C10" s="3">
        <v>0.33</v>
      </c>
      <c r="D10" s="3">
        <v>0.33</v>
      </c>
      <c r="E10" s="3">
        <v>0.33</v>
      </c>
      <c r="F10" s="3">
        <v>0.33</v>
      </c>
      <c r="G10" s="3">
        <v>0.33</v>
      </c>
      <c r="H10" s="3">
        <v>0.33</v>
      </c>
      <c r="I10" s="3">
        <v>0.33</v>
      </c>
      <c r="J10" s="5">
        <v>1</v>
      </c>
    </row>
    <row r="11" spans="1:13" x14ac:dyDescent="0.35">
      <c r="A11" t="s">
        <v>11</v>
      </c>
      <c r="B11">
        <f t="shared" ref="B11:J11" si="0">SUM(B2:B10)</f>
        <v>3.0328000000000004</v>
      </c>
      <c r="C11">
        <f t="shared" si="0"/>
        <v>10.719999999999999</v>
      </c>
      <c r="D11">
        <f t="shared" si="0"/>
        <v>10.719999999999999</v>
      </c>
      <c r="E11">
        <f t="shared" si="0"/>
        <v>11.389999999999999</v>
      </c>
      <c r="F11">
        <f t="shared" si="0"/>
        <v>21.189999999999994</v>
      </c>
      <c r="G11">
        <f t="shared" si="0"/>
        <v>25.989999999999995</v>
      </c>
      <c r="H11">
        <f t="shared" si="0"/>
        <v>19.659999999999997</v>
      </c>
      <c r="I11">
        <f t="shared" si="0"/>
        <v>22.33</v>
      </c>
      <c r="J11">
        <f t="shared" si="0"/>
        <v>25</v>
      </c>
    </row>
    <row r="15" spans="1:13" x14ac:dyDescent="0.35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s="4" t="s">
        <v>8</v>
      </c>
      <c r="K15" t="s">
        <v>11</v>
      </c>
      <c r="L15" t="s">
        <v>17</v>
      </c>
      <c r="M15" t="s">
        <v>18</v>
      </c>
    </row>
    <row r="16" spans="1:13" x14ac:dyDescent="0.35">
      <c r="A16" t="s">
        <v>9</v>
      </c>
      <c r="B16" s="1">
        <f t="array" ref="B16:J24">MMULT(B2:J10,B2:J10)</f>
        <v>8.9695999999999998</v>
      </c>
      <c r="C16">
        <v>25.22</v>
      </c>
      <c r="D16">
        <v>37.22</v>
      </c>
      <c r="E16">
        <v>47.23</v>
      </c>
      <c r="F16">
        <v>87.429999999999993</v>
      </c>
      <c r="G16">
        <v>106.63</v>
      </c>
      <c r="H16">
        <v>66.97999999999999</v>
      </c>
      <c r="I16">
        <v>90.99</v>
      </c>
      <c r="J16" s="4">
        <v>99</v>
      </c>
      <c r="K16">
        <f t="shared" ref="K16:K24" si="1">SUM(B16:J16)</f>
        <v>569.66959999999995</v>
      </c>
      <c r="L16">
        <f>K16/$K$25</f>
        <v>0.30007990716291172</v>
      </c>
    </row>
    <row r="17" spans="1:13" x14ac:dyDescent="0.35">
      <c r="A17" t="s">
        <v>1</v>
      </c>
      <c r="B17" s="3">
        <v>6.555600000000001</v>
      </c>
      <c r="C17" s="1">
        <v>8.9596</v>
      </c>
      <c r="D17">
        <v>12.014000000000001</v>
      </c>
      <c r="E17">
        <v>19.738399999999995</v>
      </c>
      <c r="F17">
        <v>43.881200000000007</v>
      </c>
      <c r="G17">
        <v>67.881199999999993</v>
      </c>
      <c r="H17">
        <v>52.694000000000003</v>
      </c>
      <c r="I17">
        <v>58.418399999999998</v>
      </c>
      <c r="J17" s="4">
        <v>66.428399999999996</v>
      </c>
      <c r="K17">
        <f t="shared" si="1"/>
        <v>336.57080000000002</v>
      </c>
      <c r="L17">
        <f t="shared" ref="L17:L24" si="2">K17/$K$25</f>
        <v>0.17729247693355402</v>
      </c>
    </row>
    <row r="18" spans="1:13" x14ac:dyDescent="0.35">
      <c r="A18" t="s">
        <v>2</v>
      </c>
      <c r="B18" s="3">
        <v>6.5171240000000008</v>
      </c>
      <c r="C18" s="3">
        <v>10.030000000000001</v>
      </c>
      <c r="D18" s="1">
        <v>8.9500000000000011</v>
      </c>
      <c r="E18">
        <v>12.56</v>
      </c>
      <c r="F18">
        <v>31.419999999999995</v>
      </c>
      <c r="G18">
        <v>55.420000000000009</v>
      </c>
      <c r="H18">
        <v>48.31</v>
      </c>
      <c r="I18">
        <v>56.580000000000005</v>
      </c>
      <c r="J18" s="4">
        <v>64.59</v>
      </c>
      <c r="K18">
        <f t="shared" si="1"/>
        <v>294.37712400000004</v>
      </c>
      <c r="L18">
        <f t="shared" si="2"/>
        <v>0.15506648071233742</v>
      </c>
    </row>
    <row r="19" spans="1:13" x14ac:dyDescent="0.35">
      <c r="A19" t="s">
        <v>3</v>
      </c>
      <c r="B19" s="3">
        <v>5.8531240000000002</v>
      </c>
      <c r="C19" s="3">
        <v>10.058900000000001</v>
      </c>
      <c r="D19" s="3">
        <v>8.2700000000000014</v>
      </c>
      <c r="E19" s="1">
        <v>8.94</v>
      </c>
      <c r="F19" s="7">
        <v>18.589999999999996</v>
      </c>
      <c r="G19" s="3">
        <v>42.590000000000011</v>
      </c>
      <c r="H19" s="3">
        <v>40.950000000000003</v>
      </c>
      <c r="I19" s="3">
        <v>48.96</v>
      </c>
      <c r="J19" s="6">
        <v>56.97</v>
      </c>
      <c r="K19">
        <f t="shared" si="1"/>
        <v>241.18202400000001</v>
      </c>
      <c r="L19">
        <f t="shared" si="2"/>
        <v>0.12704535992667179</v>
      </c>
    </row>
    <row r="20" spans="1:13" x14ac:dyDescent="0.35">
      <c r="A20" t="s">
        <v>4</v>
      </c>
      <c r="B20" s="3">
        <v>4.4645600000000005</v>
      </c>
      <c r="C20" s="3">
        <v>8.2620000000000005</v>
      </c>
      <c r="D20" s="3">
        <v>6.2860000000000005</v>
      </c>
      <c r="E20" s="3">
        <v>6.3200000000000012</v>
      </c>
      <c r="F20" s="1">
        <v>8.9700000000000006</v>
      </c>
      <c r="G20" s="3">
        <v>16.97</v>
      </c>
      <c r="H20" s="3">
        <v>25.629999999999995</v>
      </c>
      <c r="I20" s="3">
        <v>33.54</v>
      </c>
      <c r="J20" s="6">
        <v>41.55</v>
      </c>
      <c r="K20">
        <f t="shared" si="1"/>
        <v>151.99255999999997</v>
      </c>
      <c r="L20">
        <f t="shared" si="2"/>
        <v>8.0063800656122924E-2</v>
      </c>
    </row>
    <row r="21" spans="1:13" x14ac:dyDescent="0.35">
      <c r="A21" t="s">
        <v>5</v>
      </c>
      <c r="B21" s="3">
        <v>3.2645600000000004</v>
      </c>
      <c r="C21" s="3">
        <v>7.3020000000000005</v>
      </c>
      <c r="D21" s="3">
        <v>5.3260000000000005</v>
      </c>
      <c r="E21" s="3">
        <v>5.3600000000000012</v>
      </c>
      <c r="F21" s="3">
        <v>7.370000000000001</v>
      </c>
      <c r="G21" s="1">
        <v>8.9700000000000006</v>
      </c>
      <c r="H21" s="3">
        <v>11.23</v>
      </c>
      <c r="I21" s="3">
        <v>19.139999999999997</v>
      </c>
      <c r="J21" s="6">
        <v>27.15</v>
      </c>
      <c r="K21">
        <f t="shared" si="1"/>
        <v>95.112560000000002</v>
      </c>
      <c r="L21">
        <f t="shared" si="2"/>
        <v>5.0101617103715683E-2</v>
      </c>
    </row>
    <row r="22" spans="1:13" x14ac:dyDescent="0.35">
      <c r="A22" t="s">
        <v>6</v>
      </c>
      <c r="B22" s="3">
        <v>2.8627000000000002</v>
      </c>
      <c r="C22" s="3">
        <v>5.7298000000000009</v>
      </c>
      <c r="D22" s="3">
        <v>6.8809000000000005</v>
      </c>
      <c r="E22" s="3">
        <v>7.3620000000000001</v>
      </c>
      <c r="F22" s="3">
        <v>11.806000000000001</v>
      </c>
      <c r="G22" s="3">
        <v>13.39</v>
      </c>
      <c r="H22" s="1">
        <v>8.9400000000000013</v>
      </c>
      <c r="I22" s="3">
        <v>14.55</v>
      </c>
      <c r="J22" s="6">
        <v>22.560000000000002</v>
      </c>
      <c r="K22">
        <f t="shared" si="1"/>
        <v>94.081400000000002</v>
      </c>
      <c r="L22">
        <f t="shared" si="2"/>
        <v>4.955844190695232E-2</v>
      </c>
    </row>
    <row r="23" spans="1:13" x14ac:dyDescent="0.35">
      <c r="A23" t="s">
        <v>10</v>
      </c>
      <c r="B23" s="3">
        <v>2.1030240000000004</v>
      </c>
      <c r="C23" s="3">
        <v>4.6398000000000001</v>
      </c>
      <c r="D23" s="3">
        <v>4.6398000000000001</v>
      </c>
      <c r="E23" s="3">
        <v>4.8609</v>
      </c>
      <c r="F23" s="3">
        <v>8.0949000000000009</v>
      </c>
      <c r="G23" s="3">
        <v>9.6789000000000005</v>
      </c>
      <c r="H23" s="3">
        <v>7.5900000000000007</v>
      </c>
      <c r="I23" s="1">
        <v>8.92</v>
      </c>
      <c r="J23" s="6">
        <v>12.93</v>
      </c>
      <c r="K23">
        <f t="shared" si="1"/>
        <v>63.457324000000007</v>
      </c>
      <c r="L23">
        <f t="shared" si="2"/>
        <v>3.3426863386648707E-2</v>
      </c>
    </row>
    <row r="24" spans="1:13" x14ac:dyDescent="0.35">
      <c r="A24" t="s">
        <v>8</v>
      </c>
      <c r="B24" s="3">
        <v>1.2219240000000002</v>
      </c>
      <c r="C24" s="3">
        <v>3.7587000000000006</v>
      </c>
      <c r="D24" s="3">
        <v>3.7587000000000006</v>
      </c>
      <c r="E24" s="3">
        <v>3.9798</v>
      </c>
      <c r="F24" s="3">
        <v>7.2138000000000009</v>
      </c>
      <c r="G24" s="3">
        <v>8.7978000000000005</v>
      </c>
      <c r="H24" s="3">
        <v>6.7089000000000008</v>
      </c>
      <c r="I24" s="3">
        <v>7.5900000000000007</v>
      </c>
      <c r="J24" s="5">
        <v>8.9200000000000017</v>
      </c>
      <c r="K24">
        <f t="shared" si="1"/>
        <v>51.949624000000007</v>
      </c>
      <c r="L24">
        <f t="shared" si="2"/>
        <v>2.7365052211085466E-2</v>
      </c>
    </row>
    <row r="25" spans="1:13" x14ac:dyDescent="0.35">
      <c r="K25">
        <f>SUM(K16:K24)</f>
        <v>1898.393016</v>
      </c>
    </row>
    <row r="28" spans="1:13" x14ac:dyDescent="0.35">
      <c r="B28" t="s">
        <v>0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 t="s">
        <v>6</v>
      </c>
      <c r="I28" t="s">
        <v>7</v>
      </c>
      <c r="J28" s="4" t="s">
        <v>8</v>
      </c>
      <c r="K28" t="s">
        <v>11</v>
      </c>
    </row>
    <row r="29" spans="1:13" x14ac:dyDescent="0.35">
      <c r="A29" t="s">
        <v>9</v>
      </c>
      <c r="B29" s="1">
        <f t="array" ref="B29:J37">MMULT(B16:J24,B16:J24)</f>
        <v>2007.3011473199999</v>
      </c>
      <c r="C29">
        <v>3979.6004969999999</v>
      </c>
      <c r="D29">
        <v>3733.2184359999997</v>
      </c>
      <c r="E29">
        <v>4264.6507069999998</v>
      </c>
      <c r="F29">
        <v>7749.9513230000011</v>
      </c>
      <c r="G29">
        <v>11831.336123000001</v>
      </c>
      <c r="H29">
        <v>11053.775388</v>
      </c>
      <c r="I29">
        <v>14218.644551999998</v>
      </c>
      <c r="J29" s="4">
        <v>17756.418048000003</v>
      </c>
      <c r="K29">
        <f t="shared" ref="K29:K37" si="3">SUM(B29:J29)</f>
        <v>76594.896221319999</v>
      </c>
      <c r="L29">
        <f>K29/$K$38</f>
        <v>0.31809931052737178</v>
      </c>
      <c r="M29">
        <f>L16-L29</f>
        <v>-1.8019403364460063E-2</v>
      </c>
    </row>
    <row r="30" spans="1:13" x14ac:dyDescent="0.35">
      <c r="A30" t="s">
        <v>1</v>
      </c>
      <c r="B30" s="3">
        <v>1083.7500618448</v>
      </c>
      <c r="C30" s="1">
        <v>2245.52887332</v>
      </c>
      <c r="D30">
        <v>2143.0906928000004</v>
      </c>
      <c r="E30">
        <v>2391.2696835200004</v>
      </c>
      <c r="F30">
        <v>4178.8273135999998</v>
      </c>
      <c r="G30">
        <v>6022.6669807999997</v>
      </c>
      <c r="H30">
        <v>5547.0176111599994</v>
      </c>
      <c r="I30">
        <v>7329.0467246399994</v>
      </c>
      <c r="J30" s="4">
        <v>9347.5635206399984</v>
      </c>
      <c r="K30">
        <f t="shared" si="3"/>
        <v>40288.761462324794</v>
      </c>
      <c r="L30">
        <f t="shared" ref="L30:L37" si="4">K30/$K$38</f>
        <v>0.1673195979812557</v>
      </c>
      <c r="M30">
        <f t="shared" ref="M30:M37" si="5">L17-L30</f>
        <v>9.9728789522983141E-3</v>
      </c>
    </row>
    <row r="31" spans="1:13" x14ac:dyDescent="0.35">
      <c r="A31" t="s">
        <v>2</v>
      </c>
      <c r="B31" s="3">
        <v>913.46075715040024</v>
      </c>
      <c r="C31" s="3">
        <v>1916.7047742800003</v>
      </c>
      <c r="D31" s="1">
        <v>1877.4251112800002</v>
      </c>
      <c r="E31">
        <v>2113.8471425200005</v>
      </c>
      <c r="F31">
        <v>3709.1994313200003</v>
      </c>
      <c r="G31">
        <v>5199.7765321200004</v>
      </c>
      <c r="H31">
        <v>4634.0669365200001</v>
      </c>
      <c r="I31">
        <v>6112.6660647600002</v>
      </c>
      <c r="J31" s="4">
        <v>7812.845628</v>
      </c>
      <c r="K31">
        <f t="shared" si="3"/>
        <v>34289.992377950402</v>
      </c>
      <c r="L31">
        <f t="shared" si="4"/>
        <v>0.14240665464050523</v>
      </c>
      <c r="M31">
        <f t="shared" si="5"/>
        <v>1.2659826071832192E-2</v>
      </c>
    </row>
    <row r="32" spans="1:13" x14ac:dyDescent="0.35">
      <c r="A32" t="s">
        <v>3</v>
      </c>
      <c r="B32" s="3">
        <v>736.50426103040013</v>
      </c>
      <c r="C32" s="3">
        <v>1551.1299907200003</v>
      </c>
      <c r="D32" s="3">
        <v>1553.4128818800002</v>
      </c>
      <c r="E32" s="1">
        <v>1770.7484082799999</v>
      </c>
      <c r="F32" s="7">
        <v>3150.5660240000002</v>
      </c>
      <c r="G32" s="3">
        <v>4366.921524800001</v>
      </c>
      <c r="H32" s="3">
        <v>3762.3554551200004</v>
      </c>
      <c r="I32" s="3">
        <v>4929.4487965200005</v>
      </c>
      <c r="J32" s="6">
        <v>6284.9172087600018</v>
      </c>
      <c r="K32">
        <f t="shared" si="3"/>
        <v>28106.004551110404</v>
      </c>
      <c r="L32">
        <f t="shared" si="4"/>
        <v>0.11672449615381587</v>
      </c>
      <c r="M32">
        <f t="shared" si="5"/>
        <v>1.0320863772855918E-2</v>
      </c>
    </row>
    <row r="33" spans="1:13" x14ac:dyDescent="0.35">
      <c r="A33" t="s">
        <v>4</v>
      </c>
      <c r="B33" s="3">
        <v>462.2901242800001</v>
      </c>
      <c r="C33" s="3">
        <v>969.91397740000002</v>
      </c>
      <c r="D33" s="3">
        <v>1008.8746752000001</v>
      </c>
      <c r="E33" s="3">
        <v>1174.1257255999999</v>
      </c>
      <c r="F33" s="1">
        <v>2147.2317911999999</v>
      </c>
      <c r="G33" s="3">
        <v>2992.2358232000001</v>
      </c>
      <c r="H33" s="3">
        <v>2479.8045118</v>
      </c>
      <c r="I33" s="3">
        <v>3167.0896152000005</v>
      </c>
      <c r="J33" s="6">
        <v>3972.8360207999999</v>
      </c>
      <c r="K33">
        <f t="shared" si="3"/>
        <v>18374.40226468</v>
      </c>
      <c r="L33">
        <f t="shared" si="4"/>
        <v>7.6309062092839247E-2</v>
      </c>
      <c r="M33">
        <f t="shared" si="5"/>
        <v>3.7547385632836772E-3</v>
      </c>
    </row>
    <row r="34" spans="1:13" x14ac:dyDescent="0.35">
      <c r="A34" t="s">
        <v>5</v>
      </c>
      <c r="B34" s="3">
        <v>310.99588300000005</v>
      </c>
      <c r="C34" s="3">
        <v>636.6806974000001</v>
      </c>
      <c r="D34" s="3">
        <v>663.45707520000008</v>
      </c>
      <c r="E34" s="3">
        <v>791.54998160000002</v>
      </c>
      <c r="F34" s="3">
        <v>1488.4165592000004</v>
      </c>
      <c r="G34" s="1">
        <v>2147.2317912000003</v>
      </c>
      <c r="H34" s="3">
        <v>1797.6645118000004</v>
      </c>
      <c r="I34" s="3">
        <v>2246.4535512000002</v>
      </c>
      <c r="J34" s="6">
        <v>2750.3831568000001</v>
      </c>
      <c r="K34">
        <f t="shared" si="3"/>
        <v>12832.833207400001</v>
      </c>
      <c r="L34">
        <f t="shared" si="4"/>
        <v>5.3294874681878011E-2</v>
      </c>
      <c r="M34">
        <f t="shared" si="5"/>
        <v>-3.1932575781623285E-3</v>
      </c>
    </row>
    <row r="35" spans="1:13" x14ac:dyDescent="0.35">
      <c r="A35" t="s">
        <v>6</v>
      </c>
      <c r="B35" s="3">
        <v>331.35312461960007</v>
      </c>
      <c r="C35" s="3">
        <v>665.4477848800002</v>
      </c>
      <c r="D35" s="3">
        <v>657.20357020000006</v>
      </c>
      <c r="E35" s="3">
        <v>773.25377232000005</v>
      </c>
      <c r="F35" s="3">
        <v>1445.4277017600002</v>
      </c>
      <c r="G35" s="3">
        <v>2168.5515417600004</v>
      </c>
      <c r="H35" s="1">
        <v>1922.2282702000002</v>
      </c>
      <c r="I35" s="3">
        <v>2428.3189033200001</v>
      </c>
      <c r="J35" s="6">
        <v>2973.0101173200001</v>
      </c>
      <c r="K35">
        <f t="shared" si="3"/>
        <v>13364.794786379602</v>
      </c>
      <c r="L35">
        <f t="shared" si="4"/>
        <v>5.5504116026255761E-2</v>
      </c>
      <c r="M35">
        <f t="shared" si="5"/>
        <v>-5.9456741193034401E-3</v>
      </c>
    </row>
    <row r="36" spans="1:13" x14ac:dyDescent="0.35">
      <c r="A36" t="s">
        <v>10</v>
      </c>
      <c r="B36" s="3">
        <v>231.99342026520003</v>
      </c>
      <c r="C36" s="3">
        <v>461.0730989700001</v>
      </c>
      <c r="D36" s="3">
        <v>460.39036428000003</v>
      </c>
      <c r="E36" s="3">
        <v>546.37467984</v>
      </c>
      <c r="F36" s="3">
        <v>1022.6472550800001</v>
      </c>
      <c r="G36" s="3">
        <v>1529.2757158800005</v>
      </c>
      <c r="H36" s="3">
        <v>1347.0225727200002</v>
      </c>
      <c r="I36" s="1">
        <v>1707.81008608</v>
      </c>
      <c r="J36" s="6">
        <v>2094.0508513199998</v>
      </c>
      <c r="K36">
        <f t="shared" si="3"/>
        <v>9400.6380444352017</v>
      </c>
      <c r="L36">
        <f t="shared" si="4"/>
        <v>3.9040936511117896E-2</v>
      </c>
      <c r="M36">
        <f t="shared" si="5"/>
        <v>-5.6140731244691891E-3</v>
      </c>
    </row>
    <row r="37" spans="1:13" x14ac:dyDescent="0.35">
      <c r="A37" t="s">
        <v>8</v>
      </c>
      <c r="B37" s="3">
        <v>190.38535127040004</v>
      </c>
      <c r="C37" s="3">
        <v>373.25183544000009</v>
      </c>
      <c r="D37" s="3">
        <v>364.30032969000007</v>
      </c>
      <c r="E37" s="3">
        <v>429.22327140000004</v>
      </c>
      <c r="F37" s="3">
        <v>798.39215016000003</v>
      </c>
      <c r="G37" s="3">
        <v>1206.3515085600002</v>
      </c>
      <c r="H37" s="3">
        <v>1085.5790563200001</v>
      </c>
      <c r="I37" s="3">
        <v>1381.6391978400002</v>
      </c>
      <c r="J37" s="5">
        <v>1707.8100860800002</v>
      </c>
      <c r="K37">
        <f t="shared" si="3"/>
        <v>7536.9327867604006</v>
      </c>
      <c r="L37">
        <f t="shared" si="4"/>
        <v>3.1300951384960425E-2</v>
      </c>
      <c r="M37">
        <f t="shared" si="5"/>
        <v>-3.9358991738749592E-3</v>
      </c>
    </row>
    <row r="38" spans="1:13" x14ac:dyDescent="0.35">
      <c r="K38">
        <f>SUM(K29:K37)</f>
        <v>240789.25570236082</v>
      </c>
    </row>
    <row r="42" spans="1:13" x14ac:dyDescent="0.35">
      <c r="B42" t="s">
        <v>0</v>
      </c>
      <c r="C42" t="s">
        <v>1</v>
      </c>
      <c r="D42" t="s">
        <v>2</v>
      </c>
      <c r="E42" t="s">
        <v>3</v>
      </c>
      <c r="F42" t="s">
        <v>4</v>
      </c>
      <c r="G42" t="s">
        <v>5</v>
      </c>
      <c r="H42" t="s">
        <v>6</v>
      </c>
      <c r="I42" t="s">
        <v>7</v>
      </c>
      <c r="J42" s="4" t="s">
        <v>8</v>
      </c>
      <c r="K42" t="s">
        <v>11</v>
      </c>
    </row>
    <row r="43" spans="1:13" x14ac:dyDescent="0.35">
      <c r="A43" t="s">
        <v>9</v>
      </c>
      <c r="B43" s="1">
        <f t="array" ref="B43:J51">MMULT(B29:J37,B29:J37)</f>
        <v>32497351.804540753</v>
      </c>
      <c r="C43">
        <v>66283799.601897664</v>
      </c>
      <c r="D43">
        <v>65603629.645300828</v>
      </c>
      <c r="E43">
        <v>75921872.688570797</v>
      </c>
      <c r="F43">
        <v>138415438.98324221</v>
      </c>
      <c r="G43">
        <v>201481853.88228744</v>
      </c>
      <c r="H43">
        <v>177772133.62247977</v>
      </c>
      <c r="I43">
        <v>228331211.34646058</v>
      </c>
      <c r="J43" s="4">
        <v>285104216.70383424</v>
      </c>
      <c r="K43" s="2">
        <f t="shared" ref="K43:K51" si="6">SUM(B43:J43)</f>
        <v>1271411508.2786143</v>
      </c>
      <c r="L43">
        <f>K43/$K$52</f>
        <v>0.31413102239333945</v>
      </c>
      <c r="M43">
        <f>L29-L43</f>
        <v>3.9682881340323273E-3</v>
      </c>
    </row>
    <row r="44" spans="1:13" x14ac:dyDescent="0.35">
      <c r="A44" t="s">
        <v>1</v>
      </c>
      <c r="B44" s="3">
        <v>17450620.988923959</v>
      </c>
      <c r="C44" s="1">
        <v>35619225.433245882</v>
      </c>
      <c r="D44">
        <v>35233125.963039584</v>
      </c>
      <c r="E44">
        <v>40735543.942878202</v>
      </c>
      <c r="F44">
        <v>74178703.306117728</v>
      </c>
      <c r="G44">
        <v>107882036.51755868</v>
      </c>
      <c r="H44">
        <v>95235504.378739089</v>
      </c>
      <c r="I44">
        <v>122420552.18149957</v>
      </c>
      <c r="J44" s="4">
        <v>152975348.44487351</v>
      </c>
      <c r="K44" s="2">
        <f t="shared" si="6"/>
        <v>681730661.15687633</v>
      </c>
      <c r="L44">
        <f t="shared" ref="L44:L51" si="7">K44/$K$52</f>
        <v>0.16843700736675088</v>
      </c>
      <c r="M44">
        <f t="shared" ref="M44:M51" si="8">L30-L44</f>
        <v>-1.1174093854951772E-3</v>
      </c>
    </row>
    <row r="45" spans="1:13" x14ac:dyDescent="0.35">
      <c r="A45" t="s">
        <v>2</v>
      </c>
      <c r="B45" s="3">
        <v>14955528.920616616</v>
      </c>
      <c r="C45" s="3">
        <v>30543022.324322473</v>
      </c>
      <c r="D45" s="1">
        <v>30224129.162561677</v>
      </c>
      <c r="E45">
        <v>34938150.607891366</v>
      </c>
      <c r="F45">
        <v>63603382.755902678</v>
      </c>
      <c r="G45">
        <v>92430459.202375874</v>
      </c>
      <c r="H45">
        <v>81550981.585706651</v>
      </c>
      <c r="I45">
        <v>104847189.00715518</v>
      </c>
      <c r="J45" s="4">
        <v>131047334.48756263</v>
      </c>
      <c r="K45" s="2">
        <f t="shared" si="6"/>
        <v>584140178.05409515</v>
      </c>
      <c r="L45">
        <f t="shared" si="7"/>
        <v>0.14432506718583926</v>
      </c>
      <c r="M45">
        <f t="shared" si="8"/>
        <v>-1.9184125453340362E-3</v>
      </c>
    </row>
    <row r="46" spans="1:13" x14ac:dyDescent="0.35">
      <c r="A46" t="s">
        <v>3</v>
      </c>
      <c r="B46" s="3">
        <v>12283962.793894626</v>
      </c>
      <c r="C46" s="3">
        <v>25096651.638328001</v>
      </c>
      <c r="D46" s="3">
        <v>24848356.104976505</v>
      </c>
      <c r="E46" s="1">
        <v>28725342.399333633</v>
      </c>
      <c r="F46" s="7">
        <v>52292476.975229032</v>
      </c>
      <c r="G46" s="3">
        <v>75949084.697425768</v>
      </c>
      <c r="H46" s="3">
        <v>66964109.260554165</v>
      </c>
      <c r="I46" s="3">
        <v>86091164.815168247</v>
      </c>
      <c r="J46" s="6">
        <v>107611417.73242058</v>
      </c>
      <c r="K46" s="2">
        <f t="shared" si="6"/>
        <v>479862566.4173305</v>
      </c>
      <c r="L46">
        <f t="shared" si="7"/>
        <v>0.11856092037506948</v>
      </c>
      <c r="M46">
        <f t="shared" si="8"/>
        <v>-1.8364242212536019E-3</v>
      </c>
    </row>
    <row r="47" spans="1:13" x14ac:dyDescent="0.35">
      <c r="A47" t="s">
        <v>4</v>
      </c>
      <c r="B47" s="3">
        <v>8001437.634920395</v>
      </c>
      <c r="C47" s="3">
        <v>16353673.878968501</v>
      </c>
      <c r="D47" s="3">
        <v>16209079.504853137</v>
      </c>
      <c r="E47" s="3">
        <v>18745313.641337294</v>
      </c>
      <c r="F47" s="1">
        <v>34136479.415563554</v>
      </c>
      <c r="G47" s="3">
        <v>49547838.132009774</v>
      </c>
      <c r="H47" s="3">
        <v>43632322.56700293</v>
      </c>
      <c r="I47" s="3">
        <v>56078354.484216377</v>
      </c>
      <c r="J47" s="6">
        <v>70086189.141414911</v>
      </c>
      <c r="K47" s="2">
        <f t="shared" si="6"/>
        <v>312790688.40028691</v>
      </c>
      <c r="L47">
        <f t="shared" si="7"/>
        <v>7.728202718200243E-2</v>
      </c>
      <c r="M47">
        <f t="shared" si="8"/>
        <v>-9.7296508916318303E-4</v>
      </c>
    </row>
    <row r="48" spans="1:13" x14ac:dyDescent="0.35">
      <c r="A48" t="s">
        <v>5</v>
      </c>
      <c r="B48" s="3">
        <v>5499604.4567471985</v>
      </c>
      <c r="C48" s="3">
        <v>11236126.307408145</v>
      </c>
      <c r="D48" s="3">
        <v>11144539.443564376</v>
      </c>
      <c r="E48" s="3">
        <v>12898060.893147171</v>
      </c>
      <c r="F48" s="3">
        <v>23509065.400477178</v>
      </c>
      <c r="G48" s="1">
        <v>34136479.415563561</v>
      </c>
      <c r="H48" s="3">
        <v>30040242.593114633</v>
      </c>
      <c r="I48" s="3">
        <v>38585060.187936544</v>
      </c>
      <c r="J48" s="6">
        <v>48196639.902204514</v>
      </c>
      <c r="K48" s="2">
        <f t="shared" si="6"/>
        <v>215245818.60016334</v>
      </c>
      <c r="L48">
        <f t="shared" si="7"/>
        <v>5.3181356801077106E-2</v>
      </c>
      <c r="M48">
        <f t="shared" si="8"/>
        <v>1.1351788080090491E-4</v>
      </c>
    </row>
    <row r="49" spans="1:13" x14ac:dyDescent="0.35">
      <c r="A49" t="s">
        <v>6</v>
      </c>
      <c r="B49" s="3">
        <v>5665064.4346437398</v>
      </c>
      <c r="C49" s="3">
        <v>11563089.600177323</v>
      </c>
      <c r="D49" s="3">
        <v>11459496.143545784</v>
      </c>
      <c r="E49" s="3">
        <v>13265694.361692732</v>
      </c>
      <c r="F49" s="3">
        <v>24189408.066746965</v>
      </c>
      <c r="G49" s="3">
        <v>35172129.646436915</v>
      </c>
      <c r="H49" s="1">
        <v>30984840.181217939</v>
      </c>
      <c r="I49" s="3">
        <v>39789338.496631481</v>
      </c>
      <c r="J49" s="6">
        <v>49682384.92200473</v>
      </c>
      <c r="K49" s="2">
        <f t="shared" si="6"/>
        <v>221771445.85309762</v>
      </c>
      <c r="L49">
        <f t="shared" si="7"/>
        <v>5.4793660879948851E-2</v>
      </c>
      <c r="M49">
        <f t="shared" si="8"/>
        <v>7.1045514630690976E-4</v>
      </c>
    </row>
    <row r="50" spans="1:13" x14ac:dyDescent="0.35">
      <c r="A50" t="s">
        <v>10</v>
      </c>
      <c r="B50" s="3">
        <v>3977900.0953537165</v>
      </c>
      <c r="C50" s="3">
        <v>8119471.6441103267</v>
      </c>
      <c r="D50" s="3">
        <v>8048019.9556065788</v>
      </c>
      <c r="E50" s="3">
        <v>9317332.4246518407</v>
      </c>
      <c r="F50" s="3">
        <v>16991196.550256319</v>
      </c>
      <c r="G50" s="3">
        <v>24704257.182301052</v>
      </c>
      <c r="H50" s="3">
        <v>21759210.594494842</v>
      </c>
      <c r="I50" s="1">
        <v>27940497.600626893</v>
      </c>
      <c r="J50" s="6">
        <v>34886258.796256207</v>
      </c>
      <c r="K50" s="2">
        <f t="shared" si="6"/>
        <v>155744144.84365779</v>
      </c>
      <c r="L50">
        <f t="shared" si="7"/>
        <v>3.8480120034270961E-2</v>
      </c>
      <c r="M50">
        <f t="shared" si="8"/>
        <v>5.6081647684693564E-4</v>
      </c>
    </row>
    <row r="51" spans="1:13" x14ac:dyDescent="0.35">
      <c r="A51" t="s">
        <v>8</v>
      </c>
      <c r="B51" s="3">
        <v>3185213.6545767691</v>
      </c>
      <c r="C51" s="3">
        <v>6499151.2020347305</v>
      </c>
      <c r="D51" s="3">
        <v>6438905.8311710125</v>
      </c>
      <c r="E51" s="3">
        <v>7454247.3407923868</v>
      </c>
      <c r="F51" s="3">
        <v>13594235.309597116</v>
      </c>
      <c r="G51" s="3">
        <v>19775703.822929256</v>
      </c>
      <c r="H51" s="3">
        <v>17428258.595996223</v>
      </c>
      <c r="I51" s="3">
        <v>22379161.157265361</v>
      </c>
      <c r="J51" s="5">
        <v>27940497.600626893</v>
      </c>
      <c r="K51" s="2">
        <f t="shared" si="6"/>
        <v>124695374.51498976</v>
      </c>
      <c r="L51">
        <f t="shared" si="7"/>
        <v>3.0808817781701501E-2</v>
      </c>
      <c r="M51">
        <f t="shared" si="8"/>
        <v>4.9213360325892422E-4</v>
      </c>
    </row>
    <row r="52" spans="1:13" x14ac:dyDescent="0.35">
      <c r="K52" s="2">
        <f>SUM(K43:K51)</f>
        <v>4047392386.119112</v>
      </c>
    </row>
    <row r="55" spans="1:13" x14ac:dyDescent="0.35">
      <c r="B55" t="s">
        <v>0</v>
      </c>
      <c r="C55" t="s">
        <v>1</v>
      </c>
      <c r="D55" t="s">
        <v>2</v>
      </c>
      <c r="E55" t="s">
        <v>3</v>
      </c>
      <c r="F55" t="s">
        <v>4</v>
      </c>
      <c r="G55" t="s">
        <v>5</v>
      </c>
      <c r="H55" t="s">
        <v>6</v>
      </c>
      <c r="I55" t="s">
        <v>7</v>
      </c>
      <c r="J55" s="4" t="s">
        <v>8</v>
      </c>
      <c r="K55" t="s">
        <v>11</v>
      </c>
    </row>
    <row r="56" spans="1:13" x14ac:dyDescent="0.35">
      <c r="A56" t="s">
        <v>9</v>
      </c>
      <c r="B56" s="8">
        <f t="array" ref="B56:J64">MMULT(B43:J51,B43:J51)</f>
        <v>9165609966038004</v>
      </c>
      <c r="C56" s="2">
        <v>1.8714079296602804E+16</v>
      </c>
      <c r="D56" s="2">
        <v>1.8536237749014164E+16</v>
      </c>
      <c r="E56" s="2">
        <v>2.1444629695049396E+16</v>
      </c>
      <c r="F56" s="2">
        <v>3.907499991332188E+16</v>
      </c>
      <c r="G56" s="2">
        <v>5.6796009300408608E+16</v>
      </c>
      <c r="H56" s="2">
        <v>5.0061144553920624E+16</v>
      </c>
      <c r="I56" s="2">
        <v>6.4319033649913336E+16</v>
      </c>
      <c r="J56" s="9">
        <v>8.0347638505316512E+16</v>
      </c>
      <c r="K56" s="2">
        <f t="shared" ref="K56:K64" si="9">SUM(B56:J56)</f>
        <v>3.5845938262958528E+17</v>
      </c>
      <c r="L56">
        <f>K56/$K$65</f>
        <v>0.31399773049505159</v>
      </c>
      <c r="M56" s="2">
        <f>L43-L56</f>
        <v>1.3329189828786836E-4</v>
      </c>
    </row>
    <row r="57" spans="1:13" x14ac:dyDescent="0.35">
      <c r="A57" t="s">
        <v>1</v>
      </c>
      <c r="B57" s="2">
        <v>4916596473752461</v>
      </c>
      <c r="C57" s="8">
        <v>1.0038561896815252E+16</v>
      </c>
      <c r="D57" s="2">
        <v>9943154500658362</v>
      </c>
      <c r="E57" s="2">
        <v>1.1503261350138158E+16</v>
      </c>
      <c r="F57" s="2">
        <v>2.09604824657433E+16</v>
      </c>
      <c r="G57" s="2">
        <v>3.0466346134818136E+16</v>
      </c>
      <c r="H57" s="2">
        <v>2.6853681496906788E+16</v>
      </c>
      <c r="I57" s="2">
        <v>3.4501874652007312E+16</v>
      </c>
      <c r="J57" s="9">
        <v>4.3099909633425192E+16</v>
      </c>
      <c r="K57" s="2">
        <f t="shared" si="9"/>
        <v>1.9228386860426493E+17</v>
      </c>
      <c r="L57">
        <f t="shared" ref="L57:L64" si="10">K57/$K$65</f>
        <v>0.16843386246340294</v>
      </c>
      <c r="M57" s="2">
        <f t="shared" ref="M57:M64" si="11">L44-L57</f>
        <v>3.1449033479347133E-6</v>
      </c>
    </row>
    <row r="58" spans="1:13" x14ac:dyDescent="0.35">
      <c r="A58" t="s">
        <v>2</v>
      </c>
      <c r="B58" s="2">
        <v>4213933004746406.5</v>
      </c>
      <c r="C58" s="2">
        <v>8603885745999626</v>
      </c>
      <c r="D58" s="8">
        <v>8522110785721580</v>
      </c>
      <c r="E58" s="2">
        <v>9859248711014196</v>
      </c>
      <c r="F58" s="2">
        <v>1.796486392994642E+16</v>
      </c>
      <c r="G58" s="2">
        <v>2.6112169313824676E+16</v>
      </c>
      <c r="H58" s="2">
        <v>2.3015825718285048E+16</v>
      </c>
      <c r="I58" s="2">
        <v>2.9570968295975216E+16</v>
      </c>
      <c r="J58" s="9">
        <v>3.6940206759278872E+16</v>
      </c>
      <c r="K58" s="2">
        <f t="shared" si="9"/>
        <v>1.6480321226479203E+17</v>
      </c>
      <c r="L58">
        <f t="shared" si="10"/>
        <v>0.14436178026594629</v>
      </c>
      <c r="M58" s="2">
        <f t="shared" si="11"/>
        <v>-3.6713080107025897E-5</v>
      </c>
    </row>
    <row r="59" spans="1:13" x14ac:dyDescent="0.35">
      <c r="A59" t="s">
        <v>3</v>
      </c>
      <c r="B59" s="2">
        <v>3462318083558900</v>
      </c>
      <c r="C59" s="2">
        <v>7069262092275746</v>
      </c>
      <c r="D59" s="2">
        <v>7002072132010526</v>
      </c>
      <c r="E59" s="8">
        <v>8100710452616550</v>
      </c>
      <c r="F59" s="10">
        <v>1.4760568053760364E+16</v>
      </c>
      <c r="G59" s="2">
        <v>2.145467559873126E+16</v>
      </c>
      <c r="H59" s="2">
        <v>1.8910612127554652E+16</v>
      </c>
      <c r="I59" s="2">
        <v>2.4296553451450516E+16</v>
      </c>
      <c r="J59" s="11">
        <v>3.0351387258972372E+16</v>
      </c>
      <c r="K59" s="2">
        <f t="shared" si="9"/>
        <v>1.3540815925093088E+17</v>
      </c>
      <c r="L59">
        <f t="shared" si="10"/>
        <v>0.11861275434723585</v>
      </c>
      <c r="M59" s="2">
        <f t="shared" si="11"/>
        <v>-5.1833972166376308E-5</v>
      </c>
    </row>
    <row r="60" spans="1:13" x14ac:dyDescent="0.35">
      <c r="A60" t="s">
        <v>4</v>
      </c>
      <c r="B60" s="2">
        <v>2257217310652049.5</v>
      </c>
      <c r="C60" s="2">
        <v>4608724192800236</v>
      </c>
      <c r="D60" s="2">
        <v>4564921209560250</v>
      </c>
      <c r="E60" s="2">
        <v>5281164305715821</v>
      </c>
      <c r="F60" s="8">
        <v>9622977135076290</v>
      </c>
      <c r="G60" s="2">
        <v>1.3987111235458106E+16</v>
      </c>
      <c r="H60" s="2">
        <v>1.2328537049204272E+16</v>
      </c>
      <c r="I60" s="2">
        <v>1.5839838455474968E+16</v>
      </c>
      <c r="J60" s="11">
        <v>1.9787218906873432E+16</v>
      </c>
      <c r="K60" s="2">
        <f t="shared" si="9"/>
        <v>8.8277709800815424E+16</v>
      </c>
      <c r="L60">
        <f t="shared" si="10"/>
        <v>7.7328148945121356E-2</v>
      </c>
      <c r="M60" s="2">
        <f t="shared" si="11"/>
        <v>-4.6121763118925352E-5</v>
      </c>
    </row>
    <row r="61" spans="1:13" x14ac:dyDescent="0.35">
      <c r="A61" t="s">
        <v>5</v>
      </c>
      <c r="B61" s="2">
        <v>1552939219504020</v>
      </c>
      <c r="C61" s="2">
        <v>3170749805819257.5</v>
      </c>
      <c r="D61" s="2">
        <v>3140616132946992</v>
      </c>
      <c r="E61" s="2">
        <v>3633384177863719</v>
      </c>
      <c r="F61" s="2">
        <v>6620505351202594</v>
      </c>
      <c r="G61" s="8">
        <v>9622977135076292</v>
      </c>
      <c r="H61" s="2">
        <v>8481889181923924</v>
      </c>
      <c r="I61" s="2">
        <v>1.0897622204298492E+16</v>
      </c>
      <c r="J61" s="11">
        <v>1.3613373367458964E+16</v>
      </c>
      <c r="K61" s="2">
        <f t="shared" si="9"/>
        <v>6.0734056576094256E+16</v>
      </c>
      <c r="L61">
        <f t="shared" si="10"/>
        <v>5.3200883706140983E-2</v>
      </c>
      <c r="M61" s="2">
        <f t="shared" si="11"/>
        <v>-1.9526905063876887E-5</v>
      </c>
    </row>
    <row r="62" spans="1:13" x14ac:dyDescent="0.35">
      <c r="A62" t="s">
        <v>6</v>
      </c>
      <c r="B62" s="2">
        <v>1599261789363986.3</v>
      </c>
      <c r="C62" s="2">
        <v>3265328850231514</v>
      </c>
      <c r="D62" s="2">
        <v>3234298040026836</v>
      </c>
      <c r="E62" s="2">
        <v>3741767270201319.5</v>
      </c>
      <c r="F62" s="2">
        <v>6817998681796551</v>
      </c>
      <c r="G62" s="2">
        <v>9910039726353032</v>
      </c>
      <c r="H62" s="8">
        <v>8734907559016768</v>
      </c>
      <c r="I62" s="2">
        <v>1.122269712581815E+16</v>
      </c>
      <c r="J62" s="11">
        <v>1.401945239016114E+16</v>
      </c>
      <c r="K62" s="2">
        <f t="shared" si="9"/>
        <v>6.2545751432969296E+16</v>
      </c>
      <c r="L62">
        <f t="shared" si="10"/>
        <v>5.4787864270675855E-2</v>
      </c>
      <c r="M62" s="2">
        <f t="shared" si="11"/>
        <v>5.7966092729955232E-6</v>
      </c>
    </row>
    <row r="63" spans="1:13" x14ac:dyDescent="0.35">
      <c r="A63" t="s">
        <v>10</v>
      </c>
      <c r="B63" s="2">
        <v>1123126869625712.3</v>
      </c>
      <c r="C63" s="2">
        <v>2293169814619331.5</v>
      </c>
      <c r="D63" s="2">
        <v>2271377672191575.5</v>
      </c>
      <c r="E63" s="2">
        <v>2627762281358885</v>
      </c>
      <c r="F63" s="2">
        <v>4788132901896099</v>
      </c>
      <c r="G63" s="2">
        <v>6959605630951684</v>
      </c>
      <c r="H63" s="2">
        <v>6134335379720229</v>
      </c>
      <c r="I63" s="8">
        <v>7881456023552166</v>
      </c>
      <c r="J63" s="11">
        <v>9845556748908948</v>
      </c>
      <c r="K63" s="2">
        <f t="shared" si="9"/>
        <v>4.3924523322824624E+16</v>
      </c>
      <c r="L63">
        <f t="shared" si="10"/>
        <v>3.8476327597473138E-2</v>
      </c>
      <c r="M63" s="2">
        <f t="shared" si="11"/>
        <v>3.7924367978225959E-6</v>
      </c>
    </row>
    <row r="64" spans="1:13" x14ac:dyDescent="0.35">
      <c r="A64" t="s">
        <v>8</v>
      </c>
      <c r="B64" s="2">
        <v>899072877056441.5</v>
      </c>
      <c r="C64" s="2">
        <v>1835702084224642.3</v>
      </c>
      <c r="D64" s="2">
        <v>1818257486714871</v>
      </c>
      <c r="E64" s="2">
        <v>2103546966147177.8</v>
      </c>
      <c r="F64" s="2">
        <v>3832943936860780.5</v>
      </c>
      <c r="G64" s="2">
        <v>5571229110770335</v>
      </c>
      <c r="H64" s="2">
        <v>4910592200068934</v>
      </c>
      <c r="I64" s="2">
        <v>6309177130900318</v>
      </c>
      <c r="J64" s="12">
        <v>7881456023552166</v>
      </c>
      <c r="K64" s="2">
        <f t="shared" si="9"/>
        <v>3.5161977816295672E+16</v>
      </c>
      <c r="L64">
        <f t="shared" si="10"/>
        <v>3.0800647908952084E-2</v>
      </c>
      <c r="M64" s="2">
        <f t="shared" si="11"/>
        <v>8.1698727494167178E-6</v>
      </c>
    </row>
    <row r="65" spans="11:12" x14ac:dyDescent="0.35">
      <c r="K65" s="2">
        <f>SUM(K56:K64)</f>
        <v>1.1415986416985723E+18</v>
      </c>
      <c r="L65">
        <f>SUM(L56:L64)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4F699-FF1E-41FA-92E5-719232562767}">
  <dimension ref="A1:L11"/>
  <sheetViews>
    <sheetView workbookViewId="0">
      <selection activeCell="A18" sqref="A18"/>
    </sheetView>
  </sheetViews>
  <sheetFormatPr defaultRowHeight="14.5" x14ac:dyDescent="0.35"/>
  <cols>
    <col min="2" max="2" width="9.453125" bestFit="1" customWidth="1"/>
    <col min="3" max="4" width="5.81640625" bestFit="1" customWidth="1"/>
    <col min="5" max="5" width="11.81640625" bestFit="1" customWidth="1"/>
    <col min="6" max="6" width="8.81640625" bestFit="1" customWidth="1"/>
    <col min="7" max="7" width="8" bestFit="1" customWidth="1"/>
    <col min="8" max="8" width="13.08984375" bestFit="1" customWidth="1"/>
    <col min="9" max="9" width="5.81640625" bestFit="1" customWidth="1"/>
    <col min="10" max="10" width="8.81640625" customWidth="1"/>
    <col min="11" max="11" width="19.6328125" customWidth="1"/>
    <col min="12" max="12" width="9" customWidth="1"/>
  </cols>
  <sheetData>
    <row r="1" spans="1:1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4" t="s">
        <v>8</v>
      </c>
      <c r="K1" t="s">
        <v>19</v>
      </c>
      <c r="L1" t="s">
        <v>20</v>
      </c>
    </row>
    <row r="2" spans="1:12" x14ac:dyDescent="0.35">
      <c r="A2" t="s">
        <v>9</v>
      </c>
      <c r="B2" s="1">
        <v>1</v>
      </c>
      <c r="C2">
        <v>7</v>
      </c>
      <c r="D2">
        <v>5</v>
      </c>
      <c r="E2">
        <v>3</v>
      </c>
      <c r="F2">
        <v>4</v>
      </c>
      <c r="G2">
        <v>4</v>
      </c>
      <c r="H2">
        <v>5</v>
      </c>
      <c r="I2">
        <v>3</v>
      </c>
      <c r="J2" s="4">
        <v>3</v>
      </c>
      <c r="K2">
        <v>0.31399773049505159</v>
      </c>
      <c r="L2" s="2">
        <f t="array" ref="L2">MMULT(B2:J10,K2:K10)</f>
        <v>3.5745683105880159</v>
      </c>
    </row>
    <row r="3" spans="1:12" x14ac:dyDescent="0.35">
      <c r="A3" t="s">
        <v>1</v>
      </c>
      <c r="B3" s="3">
        <v>0.14280000000000001</v>
      </c>
      <c r="C3" s="1">
        <v>1</v>
      </c>
      <c r="D3">
        <v>3</v>
      </c>
      <c r="E3">
        <v>3</v>
      </c>
      <c r="F3">
        <v>5</v>
      </c>
      <c r="G3">
        <v>5</v>
      </c>
      <c r="H3">
        <v>1</v>
      </c>
      <c r="I3">
        <v>3</v>
      </c>
      <c r="J3" s="4">
        <v>3</v>
      </c>
      <c r="K3">
        <v>0.16843386246340294</v>
      </c>
      <c r="L3" s="2"/>
    </row>
    <row r="4" spans="1:12" x14ac:dyDescent="0.35">
      <c r="A4" t="s">
        <v>2</v>
      </c>
      <c r="B4" s="3">
        <v>0.2</v>
      </c>
      <c r="C4" s="3">
        <v>0.33</v>
      </c>
      <c r="D4" s="1">
        <v>1</v>
      </c>
      <c r="E4">
        <v>3</v>
      </c>
      <c r="F4">
        <v>5</v>
      </c>
      <c r="G4">
        <v>5</v>
      </c>
      <c r="H4">
        <v>3</v>
      </c>
      <c r="I4">
        <v>3</v>
      </c>
      <c r="J4" s="4">
        <v>3</v>
      </c>
      <c r="K4">
        <v>0.14436178026594629</v>
      </c>
      <c r="L4" s="2"/>
    </row>
    <row r="5" spans="1:12" x14ac:dyDescent="0.35">
      <c r="A5" t="s">
        <v>3</v>
      </c>
      <c r="B5" s="3">
        <v>0.33</v>
      </c>
      <c r="C5" s="3">
        <v>0.33</v>
      </c>
      <c r="D5" s="3">
        <v>0.33</v>
      </c>
      <c r="E5" s="1">
        <v>1</v>
      </c>
      <c r="F5" s="7">
        <v>5</v>
      </c>
      <c r="G5" s="3">
        <v>5</v>
      </c>
      <c r="H5" s="3">
        <v>3</v>
      </c>
      <c r="I5" s="3">
        <v>3</v>
      </c>
      <c r="J5" s="6">
        <v>3</v>
      </c>
      <c r="K5" s="2">
        <v>0.11861275434723585</v>
      </c>
      <c r="L5" s="2"/>
    </row>
    <row r="6" spans="1:12" x14ac:dyDescent="0.35">
      <c r="A6" t="s">
        <v>4</v>
      </c>
      <c r="B6" s="3">
        <v>0.25</v>
      </c>
      <c r="C6" s="3">
        <v>0.2</v>
      </c>
      <c r="D6" s="3">
        <v>0.2</v>
      </c>
      <c r="E6" s="3">
        <v>0.2</v>
      </c>
      <c r="F6" s="1">
        <v>1</v>
      </c>
      <c r="G6" s="3">
        <v>5</v>
      </c>
      <c r="H6" s="3">
        <v>3</v>
      </c>
      <c r="I6" s="3">
        <v>3</v>
      </c>
      <c r="J6" s="6">
        <v>3</v>
      </c>
      <c r="K6" s="3">
        <v>7.7328148945121356E-2</v>
      </c>
      <c r="L6" s="2"/>
    </row>
    <row r="7" spans="1:12" x14ac:dyDescent="0.35">
      <c r="A7" t="s">
        <v>5</v>
      </c>
      <c r="B7" s="3">
        <v>0.25</v>
      </c>
      <c r="C7" s="3">
        <v>0.2</v>
      </c>
      <c r="D7" s="3">
        <v>0.2</v>
      </c>
      <c r="E7" s="3">
        <v>0.2</v>
      </c>
      <c r="F7" s="3">
        <v>0.2</v>
      </c>
      <c r="G7" s="1">
        <v>1</v>
      </c>
      <c r="H7" s="3">
        <v>3</v>
      </c>
      <c r="I7" s="3">
        <v>3</v>
      </c>
      <c r="J7" s="6">
        <v>3</v>
      </c>
      <c r="K7" s="3">
        <v>5.3200883706140983E-2</v>
      </c>
      <c r="L7" s="2"/>
    </row>
    <row r="8" spans="1:12" x14ac:dyDescent="0.35">
      <c r="A8" t="s">
        <v>6</v>
      </c>
      <c r="B8" s="3">
        <v>0.2</v>
      </c>
      <c r="C8" s="3">
        <v>1</v>
      </c>
      <c r="D8" s="3">
        <v>0.33</v>
      </c>
      <c r="E8" s="3">
        <v>0.33</v>
      </c>
      <c r="F8" s="3">
        <v>0.33</v>
      </c>
      <c r="G8" s="3">
        <v>0.33</v>
      </c>
      <c r="H8" s="1">
        <v>1</v>
      </c>
      <c r="I8" s="3">
        <v>3</v>
      </c>
      <c r="J8" s="6">
        <v>3</v>
      </c>
      <c r="K8" s="2">
        <v>5.4787864270675855E-2</v>
      </c>
      <c r="L8" s="2"/>
    </row>
    <row r="9" spans="1:12" x14ac:dyDescent="0.35">
      <c r="A9" t="s">
        <v>10</v>
      </c>
      <c r="B9" s="3">
        <v>0.33</v>
      </c>
      <c r="C9" s="3">
        <v>0.33</v>
      </c>
      <c r="D9" s="3">
        <v>0.33</v>
      </c>
      <c r="E9" s="3">
        <v>0.33</v>
      </c>
      <c r="F9" s="3">
        <v>0.33</v>
      </c>
      <c r="G9" s="3">
        <v>0.33</v>
      </c>
      <c r="H9" s="3">
        <v>0.33</v>
      </c>
      <c r="I9" s="1">
        <v>1</v>
      </c>
      <c r="J9" s="6">
        <v>3</v>
      </c>
      <c r="K9" s="3">
        <v>3.8476327597473138E-2</v>
      </c>
      <c r="L9" s="2"/>
    </row>
    <row r="10" spans="1:12" x14ac:dyDescent="0.35">
      <c r="A10" t="s">
        <v>8</v>
      </c>
      <c r="B10" s="3">
        <v>0.33</v>
      </c>
      <c r="C10" s="3">
        <v>0.33</v>
      </c>
      <c r="D10" s="3">
        <v>0.33</v>
      </c>
      <c r="E10" s="3">
        <v>0.33</v>
      </c>
      <c r="F10" s="3">
        <v>0.33</v>
      </c>
      <c r="G10" s="3">
        <v>0.33</v>
      </c>
      <c r="H10" s="3">
        <v>0.33</v>
      </c>
      <c r="I10" s="3">
        <v>0.33</v>
      </c>
      <c r="J10" s="5">
        <v>1</v>
      </c>
      <c r="K10" s="3">
        <v>3.0800647908952084E-2</v>
      </c>
      <c r="L10" s="2"/>
    </row>
    <row r="11" spans="1:12" x14ac:dyDescent="0.35">
      <c r="A11" t="s">
        <v>11</v>
      </c>
      <c r="B11">
        <f t="shared" ref="B11:K11" si="0">SUM(B2:B10)</f>
        <v>3.0328000000000004</v>
      </c>
      <c r="C11">
        <f t="shared" si="0"/>
        <v>10.719999999999999</v>
      </c>
      <c r="D11">
        <f t="shared" si="0"/>
        <v>10.719999999999999</v>
      </c>
      <c r="E11">
        <f t="shared" si="0"/>
        <v>11.389999999999999</v>
      </c>
      <c r="F11">
        <f t="shared" si="0"/>
        <v>21.189999999999994</v>
      </c>
      <c r="G11">
        <f t="shared" si="0"/>
        <v>25.989999999999995</v>
      </c>
      <c r="H11">
        <f t="shared" si="0"/>
        <v>19.659999999999997</v>
      </c>
      <c r="I11">
        <f t="shared" si="0"/>
        <v>22.33</v>
      </c>
      <c r="J11">
        <f t="shared" si="0"/>
        <v>25</v>
      </c>
      <c r="K11">
        <f t="shared" si="0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D388-AA61-4FB3-BE09-8E91B51D8E15}">
  <dimension ref="A1:AE44"/>
  <sheetViews>
    <sheetView workbookViewId="0">
      <selection activeCell="K25" sqref="K25"/>
    </sheetView>
  </sheetViews>
  <sheetFormatPr defaultRowHeight="14.5" x14ac:dyDescent="0.35"/>
  <cols>
    <col min="11" max="11" width="11.81640625" bestFit="1" customWidth="1"/>
  </cols>
  <sheetData>
    <row r="1" spans="1:1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4" t="s">
        <v>8</v>
      </c>
      <c r="K1" t="s">
        <v>19</v>
      </c>
      <c r="L1" t="s">
        <v>20</v>
      </c>
      <c r="M1" t="s">
        <v>21</v>
      </c>
      <c r="N1" t="s">
        <v>14</v>
      </c>
      <c r="O1" t="s">
        <v>22</v>
      </c>
      <c r="P1" t="s">
        <v>23</v>
      </c>
    </row>
    <row r="2" spans="1:16" x14ac:dyDescent="0.35">
      <c r="A2" t="s">
        <v>9</v>
      </c>
      <c r="B2" s="1">
        <v>1</v>
      </c>
      <c r="C2">
        <v>7</v>
      </c>
      <c r="D2">
        <v>5</v>
      </c>
      <c r="E2">
        <v>3</v>
      </c>
      <c r="F2">
        <v>4</v>
      </c>
      <c r="G2">
        <v>4</v>
      </c>
      <c r="H2">
        <v>5</v>
      </c>
      <c r="I2">
        <v>3</v>
      </c>
      <c r="J2" s="4">
        <v>3</v>
      </c>
      <c r="K2">
        <v>0</v>
      </c>
      <c r="L2" s="2">
        <f t="array" ref="L2:L10">MMULT(B2:J10,K2:K10)</f>
        <v>3.5801415973005448</v>
      </c>
      <c r="M2" t="e">
        <f>L2/K2</f>
        <v>#DIV/0!</v>
      </c>
      <c r="N2" t="e">
        <f>(M2-9)-8</f>
        <v>#DIV/0!</v>
      </c>
      <c r="O2">
        <v>1.46</v>
      </c>
      <c r="P2" t="e">
        <f>N2/O2</f>
        <v>#DIV/0!</v>
      </c>
    </row>
    <row r="3" spans="1:16" x14ac:dyDescent="0.35">
      <c r="A3" t="s">
        <v>1</v>
      </c>
      <c r="B3" s="3">
        <v>0.33</v>
      </c>
      <c r="C3" s="1">
        <v>1</v>
      </c>
      <c r="D3">
        <v>3</v>
      </c>
      <c r="E3">
        <v>3</v>
      </c>
      <c r="F3">
        <v>1</v>
      </c>
      <c r="G3">
        <v>1</v>
      </c>
      <c r="H3">
        <v>1</v>
      </c>
      <c r="I3">
        <v>2</v>
      </c>
      <c r="J3" s="4">
        <v>3</v>
      </c>
      <c r="K3">
        <v>0.16843386246340294</v>
      </c>
      <c r="L3" s="2">
        <v>1.5250763069517439</v>
      </c>
      <c r="M3">
        <f>L3/K3</f>
        <v>9.0544519056143482</v>
      </c>
      <c r="N3">
        <f t="shared" ref="N3:N10" si="0">(M3-9)-8</f>
        <v>-7.9455480943856518</v>
      </c>
      <c r="O3">
        <v>1.46</v>
      </c>
      <c r="P3">
        <f t="shared" ref="P3:P10" si="1">N3/O3</f>
        <v>-5.4421562290312684</v>
      </c>
    </row>
    <row r="4" spans="1:16" x14ac:dyDescent="0.35">
      <c r="A4" t="s">
        <v>2</v>
      </c>
      <c r="B4" s="3">
        <v>0.5</v>
      </c>
      <c r="C4" s="3">
        <v>0.5</v>
      </c>
      <c r="D4" s="1">
        <v>1</v>
      </c>
      <c r="E4">
        <v>3</v>
      </c>
      <c r="F4">
        <v>3</v>
      </c>
      <c r="G4">
        <v>3</v>
      </c>
      <c r="H4">
        <v>2</v>
      </c>
      <c r="I4">
        <v>2</v>
      </c>
      <c r="J4" s="4">
        <v>3</v>
      </c>
      <c r="K4">
        <v>0.14436178026594629</v>
      </c>
      <c r="L4" s="2">
        <v>1.4679817447613501</v>
      </c>
      <c r="M4">
        <f t="shared" ref="M4:M10" si="2">L4/K4</f>
        <v>10.16877003080042</v>
      </c>
      <c r="N4">
        <f t="shared" si="0"/>
        <v>-6.8312299691995797</v>
      </c>
      <c r="O4">
        <v>1.46</v>
      </c>
      <c r="P4">
        <f t="shared" si="1"/>
        <v>-4.6789246364380688</v>
      </c>
    </row>
    <row r="5" spans="1:16" x14ac:dyDescent="0.35">
      <c r="A5" t="s">
        <v>3</v>
      </c>
      <c r="B5" s="3">
        <v>0.33</v>
      </c>
      <c r="C5" s="3">
        <v>0.33</v>
      </c>
      <c r="D5" s="3">
        <v>0.33</v>
      </c>
      <c r="E5" s="1">
        <v>1</v>
      </c>
      <c r="F5" s="7">
        <v>3</v>
      </c>
      <c r="G5" s="3">
        <v>3</v>
      </c>
      <c r="H5" s="3">
        <v>3</v>
      </c>
      <c r="I5" s="3">
        <v>2</v>
      </c>
      <c r="J5" s="6">
        <v>3</v>
      </c>
      <c r="K5" s="2">
        <v>0.11861275434723585</v>
      </c>
      <c r="L5" s="2">
        <v>1.1601879509405919</v>
      </c>
      <c r="M5">
        <f t="shared" si="2"/>
        <v>9.7813085728046651</v>
      </c>
      <c r="N5">
        <f t="shared" si="0"/>
        <v>-7.2186914271953349</v>
      </c>
      <c r="O5">
        <v>1.46</v>
      </c>
      <c r="P5">
        <f t="shared" si="1"/>
        <v>-4.9443091967091339</v>
      </c>
    </row>
    <row r="6" spans="1:16" x14ac:dyDescent="0.35">
      <c r="A6" t="s">
        <v>4</v>
      </c>
      <c r="B6" s="3">
        <v>0.33</v>
      </c>
      <c r="C6" s="3">
        <v>0.2</v>
      </c>
      <c r="D6" s="3">
        <v>0.2</v>
      </c>
      <c r="E6" s="3">
        <v>0.2</v>
      </c>
      <c r="F6" s="1">
        <v>1</v>
      </c>
      <c r="G6" s="3">
        <v>3</v>
      </c>
      <c r="H6" s="3">
        <v>2</v>
      </c>
      <c r="I6" s="3">
        <v>3</v>
      </c>
      <c r="J6" s="6">
        <v>3</v>
      </c>
      <c r="K6" s="3">
        <v>7.7328148945121356E-2</v>
      </c>
      <c r="L6" s="2">
        <v>0.96019015174706934</v>
      </c>
      <c r="M6">
        <f t="shared" si="2"/>
        <v>12.417084397410083</v>
      </c>
      <c r="N6">
        <f t="shared" si="0"/>
        <v>-4.5829156025899174</v>
      </c>
      <c r="O6">
        <v>1.46</v>
      </c>
      <c r="P6">
        <f t="shared" si="1"/>
        <v>-3.1389832894451488</v>
      </c>
    </row>
    <row r="7" spans="1:16" x14ac:dyDescent="0.35">
      <c r="A7" t="s">
        <v>5</v>
      </c>
      <c r="B7" s="3">
        <v>0.33</v>
      </c>
      <c r="C7" s="3">
        <v>0.2</v>
      </c>
      <c r="D7" s="3">
        <v>0.2</v>
      </c>
      <c r="E7" s="3">
        <v>0.2</v>
      </c>
      <c r="F7" s="3">
        <v>0.2</v>
      </c>
      <c r="G7" s="1">
        <v>1</v>
      </c>
      <c r="H7" s="3">
        <v>2</v>
      </c>
      <c r="I7" s="3">
        <v>2</v>
      </c>
      <c r="J7" s="6">
        <v>3</v>
      </c>
      <c r="K7" s="3">
        <v>5.3200883706140983E-2</v>
      </c>
      <c r="L7" s="2">
        <v>0.64692586517869033</v>
      </c>
      <c r="M7">
        <f t="shared" si="2"/>
        <v>12.160058632710562</v>
      </c>
      <c r="N7">
        <f t="shared" si="0"/>
        <v>-4.8399413672894376</v>
      </c>
      <c r="O7">
        <v>1.46</v>
      </c>
      <c r="P7">
        <f t="shared" si="1"/>
        <v>-3.3150283337598889</v>
      </c>
    </row>
    <row r="8" spans="1:16" x14ac:dyDescent="0.35">
      <c r="A8" t="s">
        <v>6</v>
      </c>
      <c r="B8" s="3">
        <v>0.33</v>
      </c>
      <c r="C8" s="3">
        <v>1</v>
      </c>
      <c r="D8" s="3">
        <v>0.33</v>
      </c>
      <c r="E8" s="3">
        <v>0.33</v>
      </c>
      <c r="F8" s="3">
        <v>0.33</v>
      </c>
      <c r="G8" s="3">
        <v>0.33</v>
      </c>
      <c r="H8" s="1">
        <v>1</v>
      </c>
      <c r="I8" s="3">
        <v>2</v>
      </c>
      <c r="J8" s="6">
        <v>3</v>
      </c>
      <c r="K8" s="2">
        <v>5.4787864270675855E-2</v>
      </c>
      <c r="L8" s="2">
        <v>0.73547984765820174</v>
      </c>
      <c r="M8">
        <f t="shared" si="2"/>
        <v>13.424137944574946</v>
      </c>
      <c r="N8">
        <f t="shared" si="0"/>
        <v>-3.5758620554250538</v>
      </c>
      <c r="O8">
        <v>1.46</v>
      </c>
      <c r="P8">
        <f t="shared" si="1"/>
        <v>-2.4492205859075713</v>
      </c>
    </row>
    <row r="9" spans="1:16" x14ac:dyDescent="0.35">
      <c r="A9" t="s">
        <v>10</v>
      </c>
      <c r="B9" s="3">
        <v>0.33</v>
      </c>
      <c r="C9" s="3">
        <v>0.33</v>
      </c>
      <c r="D9" s="3">
        <v>0.33</v>
      </c>
      <c r="E9" s="3">
        <v>0.33</v>
      </c>
      <c r="F9" s="3">
        <v>0.33</v>
      </c>
      <c r="G9" s="3">
        <v>0.33</v>
      </c>
      <c r="H9" s="3">
        <v>0.33</v>
      </c>
      <c r="I9" s="1">
        <v>1</v>
      </c>
      <c r="J9" s="6">
        <v>3</v>
      </c>
      <c r="K9" s="3">
        <v>0.14499999999999999</v>
      </c>
      <c r="L9" s="2">
        <v>0.44092129074636899</v>
      </c>
      <c r="M9">
        <f t="shared" si="2"/>
        <v>3.040836487905993</v>
      </c>
      <c r="N9">
        <f t="shared" si="0"/>
        <v>-13.959163512094007</v>
      </c>
      <c r="O9">
        <v>1.46</v>
      </c>
      <c r="P9">
        <f t="shared" si="1"/>
        <v>-9.5610708986945259</v>
      </c>
    </row>
    <row r="10" spans="1:16" x14ac:dyDescent="0.35">
      <c r="A10" t="s">
        <v>8</v>
      </c>
      <c r="B10" s="3">
        <v>0.33</v>
      </c>
      <c r="C10" s="3">
        <v>0.33</v>
      </c>
      <c r="D10" s="3">
        <v>0.33</v>
      </c>
      <c r="E10" s="3">
        <v>0.33</v>
      </c>
      <c r="F10" s="3">
        <v>0.33</v>
      </c>
      <c r="G10" s="3">
        <v>0.33</v>
      </c>
      <c r="H10" s="3">
        <v>0.33</v>
      </c>
      <c r="I10" s="3">
        <v>0.33</v>
      </c>
      <c r="J10" s="5">
        <v>1</v>
      </c>
      <c r="K10" s="3">
        <v>3.0800647908952084E-2</v>
      </c>
      <c r="L10" s="2">
        <v>0.28216999492846478</v>
      </c>
      <c r="M10">
        <f t="shared" si="2"/>
        <v>9.1611707572701153</v>
      </c>
      <c r="N10">
        <f t="shared" si="0"/>
        <v>-7.8388292427298847</v>
      </c>
      <c r="O10">
        <v>1.46</v>
      </c>
      <c r="P10">
        <f t="shared" si="1"/>
        <v>-5.3690611251574554</v>
      </c>
    </row>
    <row r="11" spans="1:16" x14ac:dyDescent="0.35">
      <c r="A11" t="s">
        <v>11</v>
      </c>
      <c r="B11">
        <f t="shared" ref="B11:K11" si="3">SUM(B2:B10)</f>
        <v>3.8100000000000005</v>
      </c>
      <c r="C11">
        <f t="shared" si="3"/>
        <v>10.889999999999999</v>
      </c>
      <c r="D11">
        <f t="shared" si="3"/>
        <v>10.719999999999999</v>
      </c>
      <c r="E11">
        <f t="shared" si="3"/>
        <v>11.389999999999999</v>
      </c>
      <c r="F11">
        <f t="shared" si="3"/>
        <v>13.19</v>
      </c>
      <c r="G11">
        <f t="shared" si="3"/>
        <v>15.99</v>
      </c>
      <c r="H11">
        <f t="shared" si="3"/>
        <v>16.659999999999997</v>
      </c>
      <c r="I11">
        <f t="shared" si="3"/>
        <v>17.329999999999998</v>
      </c>
      <c r="J11">
        <f t="shared" si="3"/>
        <v>25</v>
      </c>
      <c r="K11">
        <f t="shared" si="3"/>
        <v>0.79252594190747527</v>
      </c>
    </row>
    <row r="18" spans="1:31" x14ac:dyDescent="0.35">
      <c r="B18" t="s">
        <v>0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 t="s">
        <v>6</v>
      </c>
      <c r="I18" t="s">
        <v>7</v>
      </c>
      <c r="J18" s="4" t="s">
        <v>8</v>
      </c>
      <c r="K18" t="s">
        <v>24</v>
      </c>
      <c r="L18" t="s">
        <v>20</v>
      </c>
      <c r="M18" t="s">
        <v>25</v>
      </c>
      <c r="R18" s="14"/>
      <c r="S18" s="14"/>
    </row>
    <row r="19" spans="1:31" x14ac:dyDescent="0.35">
      <c r="A19" t="s">
        <v>9</v>
      </c>
      <c r="B19" s="1">
        <v>1</v>
      </c>
      <c r="C19">
        <v>7</v>
      </c>
      <c r="D19">
        <v>5</v>
      </c>
      <c r="E19">
        <v>3</v>
      </c>
      <c r="F19">
        <v>4</v>
      </c>
      <c r="G19">
        <v>4</v>
      </c>
      <c r="H19">
        <v>5</v>
      </c>
      <c r="I19">
        <v>3</v>
      </c>
      <c r="J19" s="4">
        <v>3</v>
      </c>
      <c r="K19" s="16">
        <v>0.13</v>
      </c>
      <c r="L19">
        <f t="array" ref="L19:L27">MMULT(B19:J27,K19:K27)</f>
        <v>4.7528033110772547</v>
      </c>
      <c r="M19">
        <f>L19/K19</f>
        <v>36.560025469825035</v>
      </c>
      <c r="R19" s="13"/>
      <c r="S19" s="13"/>
    </row>
    <row r="20" spans="1:31" x14ac:dyDescent="0.35">
      <c r="A20" t="s">
        <v>1</v>
      </c>
      <c r="B20" s="3">
        <v>0.14280000000000001</v>
      </c>
      <c r="C20" s="1">
        <v>1</v>
      </c>
      <c r="D20">
        <v>3</v>
      </c>
      <c r="E20">
        <v>3</v>
      </c>
      <c r="F20">
        <v>5</v>
      </c>
      <c r="G20">
        <v>5</v>
      </c>
      <c r="H20">
        <v>1</v>
      </c>
      <c r="I20">
        <v>3</v>
      </c>
      <c r="J20" s="4">
        <v>3</v>
      </c>
      <c r="K20" s="16">
        <v>0.04</v>
      </c>
      <c r="L20">
        <v>2.0395681388465681</v>
      </c>
      <c r="M20">
        <f t="shared" ref="M20:M27" si="4">L20/K20</f>
        <v>50.989203471164203</v>
      </c>
      <c r="R20" s="13"/>
      <c r="S20" s="13"/>
    </row>
    <row r="21" spans="1:31" x14ac:dyDescent="0.35">
      <c r="A21" t="s">
        <v>2</v>
      </c>
      <c r="B21" s="3">
        <v>0.2</v>
      </c>
      <c r="C21" s="3">
        <v>0.33</v>
      </c>
      <c r="D21" s="1">
        <v>1</v>
      </c>
      <c r="E21">
        <v>3</v>
      </c>
      <c r="F21">
        <v>5</v>
      </c>
      <c r="G21">
        <v>5</v>
      </c>
      <c r="H21">
        <v>3</v>
      </c>
      <c r="I21">
        <v>3</v>
      </c>
      <c r="J21" s="4">
        <v>3</v>
      </c>
      <c r="K21" s="16">
        <v>0.11</v>
      </c>
      <c r="L21">
        <v>2.920204138846568</v>
      </c>
      <c r="M21">
        <f t="shared" si="4"/>
        <v>26.547310353150618</v>
      </c>
      <c r="R21" s="13"/>
      <c r="S21" s="13"/>
    </row>
    <row r="22" spans="1:31" x14ac:dyDescent="0.35">
      <c r="A22" t="s">
        <v>3</v>
      </c>
      <c r="B22" s="3">
        <v>0.33</v>
      </c>
      <c r="C22" s="3">
        <v>0.33</v>
      </c>
      <c r="D22" s="3">
        <v>0.33</v>
      </c>
      <c r="E22" s="1">
        <v>1</v>
      </c>
      <c r="F22" s="7">
        <v>5</v>
      </c>
      <c r="G22" s="3">
        <v>5</v>
      </c>
      <c r="H22" s="3">
        <v>3</v>
      </c>
      <c r="I22" s="3">
        <v>3</v>
      </c>
      <c r="J22" s="6">
        <v>3</v>
      </c>
      <c r="K22" s="16">
        <v>0.03</v>
      </c>
      <c r="L22">
        <v>2.803404138846568</v>
      </c>
      <c r="M22">
        <f t="shared" si="4"/>
        <v>93.446804628218942</v>
      </c>
      <c r="R22" s="13"/>
      <c r="S22" s="13"/>
    </row>
    <row r="23" spans="1:31" x14ac:dyDescent="0.35">
      <c r="A23" t="s">
        <v>4</v>
      </c>
      <c r="B23" s="3">
        <v>0.25</v>
      </c>
      <c r="C23" s="3">
        <v>0.2</v>
      </c>
      <c r="D23" s="3">
        <v>0.2</v>
      </c>
      <c r="E23" s="3">
        <v>0.2</v>
      </c>
      <c r="F23" s="1">
        <v>1</v>
      </c>
      <c r="G23" s="3">
        <v>5</v>
      </c>
      <c r="H23" s="3">
        <v>3</v>
      </c>
      <c r="I23" s="3">
        <v>3</v>
      </c>
      <c r="J23" s="6">
        <v>3</v>
      </c>
      <c r="K23" s="16">
        <v>4.4999999999999998E-2</v>
      </c>
      <c r="L23">
        <v>2.5695041388465683</v>
      </c>
      <c r="M23">
        <f t="shared" si="4"/>
        <v>57.100091974368183</v>
      </c>
      <c r="R23" s="13"/>
      <c r="S23" s="13"/>
    </row>
    <row r="24" spans="1:31" x14ac:dyDescent="0.35">
      <c r="A24" t="s">
        <v>5</v>
      </c>
      <c r="B24" s="3">
        <v>0.25</v>
      </c>
      <c r="C24" s="3">
        <v>0.2</v>
      </c>
      <c r="D24" s="3">
        <v>0.2</v>
      </c>
      <c r="E24" s="3">
        <v>0.2</v>
      </c>
      <c r="F24" s="3">
        <v>0.2</v>
      </c>
      <c r="G24" s="1">
        <v>1</v>
      </c>
      <c r="H24" s="3">
        <v>3</v>
      </c>
      <c r="I24" s="3">
        <v>3</v>
      </c>
      <c r="J24" s="6">
        <v>3</v>
      </c>
      <c r="K24" s="16">
        <v>5.320082776931355E-2</v>
      </c>
      <c r="L24">
        <v>2.320700827769314</v>
      </c>
      <c r="M24">
        <f t="shared" si="4"/>
        <v>43.621517278494366</v>
      </c>
      <c r="R24" s="13"/>
      <c r="S24" s="13"/>
    </row>
    <row r="25" spans="1:31" ht="29" x14ac:dyDescent="0.35">
      <c r="A25" t="s">
        <v>6</v>
      </c>
      <c r="B25" s="3">
        <v>0.2</v>
      </c>
      <c r="C25" s="3">
        <v>1</v>
      </c>
      <c r="D25" s="3">
        <v>0.33</v>
      </c>
      <c r="E25" s="3">
        <v>0.33</v>
      </c>
      <c r="F25" s="3">
        <v>0.33</v>
      </c>
      <c r="G25" s="3">
        <v>0.33</v>
      </c>
      <c r="H25" s="1">
        <v>1</v>
      </c>
      <c r="I25" s="3">
        <v>3</v>
      </c>
      <c r="J25" s="6">
        <v>3</v>
      </c>
      <c r="K25" s="16">
        <v>0.56000000000000005</v>
      </c>
      <c r="L25">
        <v>1.2146062731638734</v>
      </c>
      <c r="M25">
        <f t="shared" si="4"/>
        <v>2.1689397735069167</v>
      </c>
      <c r="R25" s="13"/>
      <c r="S25" s="13"/>
      <c r="V25" s="14" t="s">
        <v>26</v>
      </c>
      <c r="W25" s="14" t="s">
        <v>9</v>
      </c>
      <c r="X25" s="14" t="s">
        <v>1</v>
      </c>
      <c r="Y25" s="14" t="s">
        <v>2</v>
      </c>
      <c r="Z25" s="14" t="s">
        <v>3</v>
      </c>
      <c r="AA25" s="14" t="s">
        <v>4</v>
      </c>
      <c r="AB25" s="14" t="s">
        <v>27</v>
      </c>
      <c r="AC25" s="14" t="s">
        <v>28</v>
      </c>
      <c r="AD25" s="14" t="s">
        <v>7</v>
      </c>
      <c r="AE25" s="14" t="s">
        <v>8</v>
      </c>
    </row>
    <row r="26" spans="1:31" ht="29" x14ac:dyDescent="0.35">
      <c r="A26" t="s">
        <v>10</v>
      </c>
      <c r="B26" s="3">
        <v>0.33</v>
      </c>
      <c r="C26" s="3">
        <v>0.33</v>
      </c>
      <c r="D26" s="3">
        <v>0.33</v>
      </c>
      <c r="E26" s="3">
        <v>0.33</v>
      </c>
      <c r="F26" s="3">
        <v>0.33</v>
      </c>
      <c r="G26" s="3">
        <v>0.33</v>
      </c>
      <c r="H26" s="3">
        <v>0.33</v>
      </c>
      <c r="I26" s="1">
        <v>1</v>
      </c>
      <c r="J26" s="6">
        <v>3</v>
      </c>
      <c r="K26" s="16">
        <v>0.14499999999999999</v>
      </c>
      <c r="L26">
        <v>0.53950627316387356</v>
      </c>
      <c r="M26">
        <f t="shared" si="4"/>
        <v>3.7207329183715419</v>
      </c>
      <c r="R26" s="13"/>
      <c r="S26" s="13"/>
      <c r="V26" s="15" t="s">
        <v>9</v>
      </c>
      <c r="W26" s="13">
        <v>1</v>
      </c>
      <c r="X26" s="15">
        <v>7</v>
      </c>
      <c r="Y26" s="15">
        <v>5</v>
      </c>
      <c r="Z26" s="15">
        <v>3</v>
      </c>
      <c r="AA26" s="15">
        <v>4</v>
      </c>
      <c r="AB26" s="15">
        <v>4</v>
      </c>
      <c r="AC26" s="15">
        <v>5</v>
      </c>
      <c r="AD26" s="15">
        <v>3</v>
      </c>
      <c r="AE26" s="15">
        <v>3</v>
      </c>
    </row>
    <row r="27" spans="1:31" x14ac:dyDescent="0.35">
      <c r="A27" t="s">
        <v>8</v>
      </c>
      <c r="B27" s="3">
        <v>0.33</v>
      </c>
      <c r="C27" s="3">
        <v>0.33</v>
      </c>
      <c r="D27" s="3">
        <v>0.33</v>
      </c>
      <c r="E27" s="3">
        <v>0.33</v>
      </c>
      <c r="F27" s="3">
        <v>0.33</v>
      </c>
      <c r="G27" s="3">
        <v>0.33</v>
      </c>
      <c r="H27" s="3">
        <v>0.33</v>
      </c>
      <c r="I27" s="3">
        <v>0.33</v>
      </c>
      <c r="J27" s="5">
        <v>1</v>
      </c>
      <c r="K27" s="16">
        <v>2.5000000000000001E-2</v>
      </c>
      <c r="L27">
        <v>0.3923562731638735</v>
      </c>
      <c r="M27">
        <f t="shared" si="4"/>
        <v>15.69425092655494</v>
      </c>
      <c r="R27" s="13"/>
      <c r="S27" s="13"/>
      <c r="V27" s="15" t="s">
        <v>1</v>
      </c>
      <c r="W27" s="13"/>
      <c r="X27" s="13">
        <v>1</v>
      </c>
      <c r="Y27" s="15">
        <v>3</v>
      </c>
      <c r="Z27" s="15">
        <v>3</v>
      </c>
      <c r="AA27" s="15">
        <v>5</v>
      </c>
      <c r="AB27" s="15">
        <v>5</v>
      </c>
      <c r="AC27" s="15">
        <v>3</v>
      </c>
      <c r="AD27" s="15">
        <v>3</v>
      </c>
      <c r="AE27" s="15">
        <v>3</v>
      </c>
    </row>
    <row r="28" spans="1:31" x14ac:dyDescent="0.35">
      <c r="K28">
        <f>SUM(K19:K27)</f>
        <v>1.1382008277693136</v>
      </c>
      <c r="M28">
        <f>VARPA(M19:M27)</f>
        <v>745.86600939665561</v>
      </c>
      <c r="R28" s="15"/>
      <c r="S28" s="15"/>
      <c r="V28" s="15" t="s">
        <v>2</v>
      </c>
      <c r="W28" s="13"/>
      <c r="X28" s="13"/>
      <c r="Y28" s="13">
        <v>1</v>
      </c>
      <c r="Z28" s="15">
        <v>3</v>
      </c>
      <c r="AA28" s="15">
        <v>5</v>
      </c>
      <c r="AB28" s="15">
        <v>5</v>
      </c>
      <c r="AC28" s="15">
        <v>3</v>
      </c>
      <c r="AD28" s="15">
        <v>3</v>
      </c>
      <c r="AE28" s="15">
        <v>3</v>
      </c>
    </row>
    <row r="29" spans="1:31" ht="29" x14ac:dyDescent="0.35">
      <c r="V29" s="15" t="s">
        <v>3</v>
      </c>
      <c r="W29" s="13"/>
      <c r="X29" s="13"/>
      <c r="Y29" s="13"/>
      <c r="Z29" s="13">
        <v>1</v>
      </c>
      <c r="AA29" s="15">
        <v>5</v>
      </c>
      <c r="AB29" s="15">
        <v>5</v>
      </c>
      <c r="AC29" s="15">
        <v>3</v>
      </c>
      <c r="AD29" s="15">
        <v>3</v>
      </c>
      <c r="AE29" s="15">
        <v>3</v>
      </c>
    </row>
    <row r="30" spans="1:31" x14ac:dyDescent="0.35">
      <c r="V30" s="15" t="s">
        <v>4</v>
      </c>
      <c r="W30" s="13"/>
      <c r="X30" s="13"/>
      <c r="Y30" s="13"/>
      <c r="Z30" s="13"/>
      <c r="AA30" s="13">
        <v>1</v>
      </c>
      <c r="AB30" s="15">
        <v>3</v>
      </c>
      <c r="AC30" s="15">
        <v>3</v>
      </c>
      <c r="AD30" s="15">
        <v>3</v>
      </c>
      <c r="AE30" s="15">
        <v>3</v>
      </c>
    </row>
    <row r="31" spans="1:31" x14ac:dyDescent="0.35">
      <c r="V31" s="15" t="s">
        <v>27</v>
      </c>
      <c r="W31" s="13"/>
      <c r="X31" s="13"/>
      <c r="Y31" s="13"/>
      <c r="Z31" s="13"/>
      <c r="AA31" s="13"/>
      <c r="AB31" s="13">
        <v>1</v>
      </c>
      <c r="AC31" s="15">
        <v>3</v>
      </c>
      <c r="AD31" s="15">
        <v>3</v>
      </c>
      <c r="AE31" s="15">
        <v>3</v>
      </c>
    </row>
    <row r="32" spans="1:31" ht="29" x14ac:dyDescent="0.35">
      <c r="V32" s="15" t="s">
        <v>6</v>
      </c>
      <c r="W32" s="13"/>
      <c r="X32" s="13"/>
      <c r="Y32" s="13"/>
      <c r="Z32" s="13"/>
      <c r="AA32" s="13"/>
      <c r="AB32" s="13"/>
      <c r="AC32" s="13">
        <v>1</v>
      </c>
      <c r="AD32" s="15">
        <v>3</v>
      </c>
      <c r="AE32" s="15">
        <v>3</v>
      </c>
    </row>
    <row r="33" spans="1:31" x14ac:dyDescent="0.35">
      <c r="V33" s="15" t="s">
        <v>7</v>
      </c>
      <c r="W33" s="13"/>
      <c r="X33" s="13"/>
      <c r="Y33" s="13"/>
      <c r="Z33" s="13"/>
      <c r="AA33" s="13"/>
      <c r="AB33" s="13"/>
      <c r="AC33" s="13"/>
      <c r="AD33" s="13">
        <v>1</v>
      </c>
      <c r="AE33" s="15">
        <v>3</v>
      </c>
    </row>
    <row r="34" spans="1:31" x14ac:dyDescent="0.35">
      <c r="V34" s="15" t="s">
        <v>8</v>
      </c>
      <c r="W34" s="13"/>
      <c r="X34" s="13"/>
      <c r="Y34" s="13"/>
      <c r="Z34" s="13"/>
      <c r="AA34" s="13"/>
      <c r="AB34" s="13"/>
      <c r="AC34" s="13"/>
      <c r="AD34" s="13"/>
      <c r="AE34" s="13">
        <v>1</v>
      </c>
    </row>
    <row r="35" spans="1:31" x14ac:dyDescent="0.35"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  <c r="I35" t="s">
        <v>7</v>
      </c>
      <c r="J35" s="4" t="s">
        <v>8</v>
      </c>
    </row>
    <row r="36" spans="1:31" x14ac:dyDescent="0.35">
      <c r="A36" t="s">
        <v>9</v>
      </c>
      <c r="B36" s="1">
        <v>1</v>
      </c>
      <c r="C36">
        <v>7</v>
      </c>
      <c r="D36">
        <v>5</v>
      </c>
      <c r="E36">
        <v>3</v>
      </c>
      <c r="F36">
        <v>4</v>
      </c>
      <c r="G36">
        <v>4</v>
      </c>
      <c r="H36">
        <v>5</v>
      </c>
      <c r="I36">
        <v>3</v>
      </c>
      <c r="J36" s="4">
        <v>3</v>
      </c>
    </row>
    <row r="37" spans="1:31" x14ac:dyDescent="0.35">
      <c r="A37" t="s">
        <v>1</v>
      </c>
      <c r="B37" s="3"/>
      <c r="C37" s="1"/>
      <c r="J37" s="4">
        <v>3</v>
      </c>
    </row>
    <row r="38" spans="1:31" x14ac:dyDescent="0.35">
      <c r="A38" t="s">
        <v>2</v>
      </c>
      <c r="B38" s="3"/>
      <c r="C38" s="3"/>
      <c r="D38" s="1"/>
      <c r="J38" s="4">
        <v>3</v>
      </c>
    </row>
    <row r="39" spans="1:31" x14ac:dyDescent="0.35">
      <c r="A39" t="s">
        <v>3</v>
      </c>
      <c r="B39" s="3"/>
      <c r="C39" s="3"/>
      <c r="D39" s="3"/>
      <c r="E39" s="1"/>
      <c r="F39" s="7"/>
      <c r="G39" s="3"/>
      <c r="H39" s="3"/>
      <c r="I39" s="3"/>
      <c r="J39" s="6">
        <v>3</v>
      </c>
    </row>
    <row r="40" spans="1:31" x14ac:dyDescent="0.35">
      <c r="A40" t="s">
        <v>4</v>
      </c>
      <c r="B40" s="3"/>
      <c r="C40" s="3"/>
      <c r="D40" s="3"/>
      <c r="E40" s="3"/>
      <c r="F40" s="1"/>
      <c r="G40" s="3"/>
      <c r="H40" s="3"/>
      <c r="I40" s="3"/>
      <c r="J40" s="6">
        <v>3</v>
      </c>
    </row>
    <row r="41" spans="1:31" x14ac:dyDescent="0.35">
      <c r="A41" t="s">
        <v>5</v>
      </c>
      <c r="B41" s="3"/>
      <c r="C41" s="3"/>
      <c r="D41" s="3"/>
      <c r="E41" s="3"/>
      <c r="F41" s="3"/>
      <c r="G41" s="1"/>
      <c r="H41" s="3"/>
      <c r="I41" s="3"/>
      <c r="J41" s="6">
        <v>3</v>
      </c>
    </row>
    <row r="42" spans="1:31" x14ac:dyDescent="0.35">
      <c r="A42" t="s">
        <v>6</v>
      </c>
      <c r="B42" s="3"/>
      <c r="C42" s="3"/>
      <c r="D42" s="3"/>
      <c r="E42" s="3"/>
      <c r="F42" s="3"/>
      <c r="G42" s="3"/>
      <c r="H42" s="1"/>
      <c r="I42" s="3"/>
      <c r="J42" s="6">
        <v>3</v>
      </c>
    </row>
    <row r="43" spans="1:31" x14ac:dyDescent="0.35">
      <c r="A43" t="s">
        <v>10</v>
      </c>
      <c r="B43" s="3"/>
      <c r="C43" s="3"/>
      <c r="D43" s="3"/>
      <c r="E43" s="3"/>
      <c r="F43" s="3"/>
      <c r="G43" s="3"/>
      <c r="H43" s="3"/>
      <c r="I43" s="1"/>
      <c r="J43" s="6"/>
    </row>
    <row r="44" spans="1:31" x14ac:dyDescent="0.35">
      <c r="A44" t="s">
        <v>8</v>
      </c>
      <c r="B44" s="3"/>
      <c r="C44" s="3"/>
      <c r="D44" s="3"/>
      <c r="E44" s="3"/>
      <c r="F44" s="3"/>
      <c r="G44" s="3"/>
      <c r="H44" s="3"/>
      <c r="I44" s="3"/>
      <c r="J4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Kamera.</dc:creator>
  <cp:lastModifiedBy>Akshaya Kamera.</cp:lastModifiedBy>
  <dcterms:created xsi:type="dcterms:W3CDTF">2025-12-09T08:43:15Z</dcterms:created>
  <dcterms:modified xsi:type="dcterms:W3CDTF">2025-12-15T05:17:24Z</dcterms:modified>
</cp:coreProperties>
</file>